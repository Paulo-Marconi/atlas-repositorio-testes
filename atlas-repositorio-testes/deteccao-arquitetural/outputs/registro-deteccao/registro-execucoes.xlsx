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f614c3bc34b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ções" sheetId="1" r:id="Raf8cee2623c548d4"/>
    <x:sheet xmlns:r="http://schemas.openxmlformats.org/officeDocument/2006/relationships" name="Resumo por repetição" sheetId="2" r:id="R505a3a8979ee457b"/>
    <x:sheet xmlns:r="http://schemas.openxmlformats.org/officeDocument/2006/relationships" name="Comparação dos modelos" sheetId="3" r:id="R870f7b7391524a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%"/>
  </x:numFmts>
  <x:fonts count="9">
    <x:font>
      <x:sz val="11"/>
      <x:name val="Carlito"/>
    </x:font>
    <x:font>
      <x:sz val="11"/>
      <x:color rgb="FF1F2937"/>
      <x:name val="Arial"/>
    </x:font>
    <x:font>
      <x:b/>
      <x:sz val="16"/>
      <x:color rgb="FF1F2937"/>
      <x:name val="Arial"/>
    </x:font>
    <x:font>
      <x:sz val="11"/>
      <x:color rgb="FF64748B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  <x:font>
      <x:b/>
      <x:sz val="13"/>
      <x:color rgb="FF1F2937"/>
      <x:name val="Arial"/>
    </x:font>
    <x:font>
      <x:b/>
      <x:sz val="14"/>
      <x:color rgb="FF1F2937"/>
      <x:name val="Arial"/>
    </x:font>
    <x:font>
      <x:b/>
      <x:sz val="11"/>
      <x:color rgb="FF1F2937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263449"/>
      </x:patternFill>
    </x:fill>
    <x:fill>
      <x:patternFill patternType="solid">
        <x:fgColor rgb="FFFFF8E3"/>
      </x:patternFill>
    </x:fill>
    <x:fill>
      <x:patternFill patternType="solid">
        <x:fgColor rgb="FFEEF2F6"/>
      </x:patternFill>
    </x:fill>
    <x:fill>
      <x:patternFill patternType="solid">
        <x:fgColor rgb="FF263449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263449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263449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263449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263449"/>
      </x:patternFill>
    </x:fill>
    <x:fill>
      <x:patternFill patternType="solid">
        <x:fgColor rgb="FFEEF2F6"/>
      </x:patternFill>
    </x:fill>
    <x:fill>
      <x:patternFill patternType="solid">
        <x:fgColor rgb="FFFFFFFF"/>
      </x:patternFill>
    </x:fill>
    <x:fill>
      <x:patternFill patternType="solid">
        <x:fgColor rgb="FFEEF2F6"/>
      </x:patternFill>
    </x:fill>
  </x:fills>
  <x:borders count="5">
    <x:border/>
    <x:border>
      <x:bottom style="thin">
        <x:color rgb="FFD8DE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left" vertical="center" wrapText="1"/>
    </x:xf>
    <x:xf numFmtId="200" fontId="1" fillId="4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horizontal="right" vertical="center"/>
    </x:xf>
    <x:xf numFmtId="200" fontId="1" fillId="7" borderId="0" xfId="0" applyNumberFormat="1" applyFont="1" applyFill="1" applyBorder="1" applyAlignment="1">
      <x:alignment horizontal="right" vertical="center"/>
    </x:xf>
    <x:xf numFmtId="200" fontId="1" fillId="9" borderId="0" xfId="0" applyNumberFormat="1" applyFont="1" applyFill="1" applyBorder="1" applyAlignment="1">
      <x:alignment horizontal="right" vertical="center"/>
    </x:xf>
    <x:xf numFmtId="201" fontId="1" fillId="9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6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vertical="center" wrapText="0"/>
    </x:xf>
    <x:xf numFmtId="0" fontId="1" fillId="10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horizontal="right" vertical="center"/>
    </x:xf>
    <x:xf numFmtId="200" fontId="1" fillId="12" borderId="0" xfId="0" applyNumberFormat="1" applyFont="1" applyFill="1" applyBorder="1" applyAlignment="1">
      <x:alignment horizontal="right" vertical="center"/>
    </x:xf>
    <x:xf numFmtId="202" fontId="1" fillId="12" borderId="0" xfId="0" applyNumberFormat="1" applyFont="1" applyFill="1" applyBorder="1" applyAlignment="1">
      <x:alignment horizontal="right" vertical="center"/>
    </x:xf>
    <x:xf numFmtId="0" fontId="6" fillId="13" borderId="0" xfId="0" applyNumberFormat="1" applyFont="1" applyFill="1" applyBorder="1" applyAlignment="1">
      <x:alignment vertical="center"/>
    </x:xf>
    <x:xf numFmtId="0" fontId="1" fillId="13" borderId="0" xfId="0" applyNumberFormat="1" applyFont="1" applyFill="1" applyBorder="1" applyAlignment="1">
      <x:alignment vertical="center"/>
    </x:xf>
    <x:xf numFmtId="0" fontId="4" fillId="13" borderId="0" xfId="0" applyNumberFormat="1" applyFont="1" applyFill="1" applyBorder="1" applyAlignment="1">
      <x:alignment vertical="center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0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horizontal="right" vertical="center"/>
    </x:xf>
    <x:xf numFmtId="202" fontId="1" fillId="13" borderId="0" xfId="0" applyNumberFormat="1" applyFont="1" applyFill="1" applyBorder="1" applyAlignment="1">
      <x:alignment horizontal="right" vertical="center"/>
    </x:xf>
    <x:xf numFmtId="0" fontId="8" fillId="13" borderId="0" xfId="0" applyNumberFormat="1" applyFont="1" applyFill="1" applyBorder="1" applyAlignment="1">
      <x:alignment vertical="center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200" fontId="1" fillId="15" borderId="0" xfId="0" applyNumberFormat="1" applyFont="1" applyFill="1" applyBorder="1" applyAlignment="1">
      <x:alignment horizontal="right" vertical="center"/>
    </x:xf>
    <x:xf numFmtId="202" fontId="1" fillId="15" borderId="0" xfId="0" applyNumberFormat="1" applyFont="1" applyFill="1" applyBorder="1" applyAlignment="1">
      <x:alignment horizontal="right" vertical="center"/>
    </x:xf>
    <x:xf numFmtId="0" fontId="6" fillId="16" borderId="0" xfId="0" applyNumberFormat="1" applyFont="1" applyFill="1" applyBorder="1" applyAlignment="1">
      <x:alignment vertical="center"/>
    </x:xf>
    <x:xf numFmtId="0" fontId="1" fillId="16" borderId="0" xfId="0" applyNumberFormat="1" applyFont="1" applyFill="1" applyBorder="1" applyAlignment="1">
      <x:alignment vertical="center"/>
    </x:xf>
    <x:xf numFmtId="0" fontId="4" fillId="16" borderId="0" xfId="0" applyNumberFormat="1" applyFont="1" applyFill="1" applyBorder="1" applyAlignment="1">
      <x:alignment vertical="center"/>
    </x:xf>
    <x:xf numFmtId="0" fontId="5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0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horizontal="right" vertical="center"/>
    </x:xf>
    <x:xf numFmtId="202" fontId="1" fillId="16" borderId="0" xfId="0" applyNumberFormat="1" applyFont="1" applyFill="1" applyBorder="1" applyAlignment="1">
      <x:alignment horizontal="right" vertical="center"/>
    </x:xf>
    <x:xf numFmtId="0" fontId="8" fillId="16" borderId="0" xfId="0" applyNumberFormat="1" applyFont="1" applyFill="1" applyBorder="1" applyAlignment="1">
      <x:alignment vertical="center"/>
    </x:xf>
    <x:xf numFmtId="0" fontId="8" fillId="16" borderId="0" xfId="0" applyNumberFormat="1" applyFont="1" applyFill="1" applyBorder="1" applyAlignment="1">
      <x:alignment horizontal="center" vertical="center" wrapText="1"/>
    </x:xf>
    <x:xf numFmtId="0" fontId="8" fillId="17" borderId="0" xfId="0" applyNumberFormat="1" applyFont="1" applyFill="1" applyBorder="1" applyAlignment="1">
      <x:alignment horizontal="center" vertical="center" wrapText="1"/>
    </x:xf>
    <x:xf numFmtId="0" fontId="5" fillId="17" borderId="0" xfId="0" applyNumberFormat="1" applyFont="1" applyFill="1" applyBorder="1" applyAlignment="1">
      <x:alignment horizontal="center" vertical="center" wrapText="1"/>
    </x:xf>
    <x:xf numFmtId="200" fontId="1" fillId="18" borderId="0" xfId="0" applyNumberFormat="1" applyFont="1" applyFill="1" applyBorder="1" applyAlignment="1">
      <x:alignment horizontal="right" vertical="center"/>
    </x:xf>
    <x:xf numFmtId="202" fontId="1" fillId="18" borderId="0" xfId="0" applyNumberFormat="1" applyFont="1" applyFill="1" applyBorder="1" applyAlignment="1">
      <x:alignment horizontal="right" vertical="center"/>
    </x:xf>
    <x:xf numFmtId="0" fontId="1" fillId="19" borderId="0" xfId="0" applyNumberFormat="1" applyFont="1" applyFill="1" applyBorder="1" applyAlignment="1">
      <x:alignment vertical="center"/>
    </x:xf>
    <x:xf numFmtId="0" fontId="4" fillId="19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vertical="center" wrapText="0"/>
    </x:xf>
    <x:xf numFmtId="0" fontId="1" fillId="19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/>
    </x:xf>
    <x:xf numFmtId="0" fontId="1" fillId="20" borderId="0" xfId="0" applyNumberFormat="1" applyFont="1" applyFill="1" applyBorder="1" applyAlignment="1">
      <x:alignment horizontal="right" vertical="center"/>
    </x:xf>
    <x:xf numFmtId="200" fontId="1" fillId="20" borderId="0" xfId="0" applyNumberFormat="1" applyFont="1" applyFill="1" applyBorder="1" applyAlignment="1">
      <x:alignment horizontal="right" vertical="center"/>
    </x:xf>
    <x:xf numFmtId="202" fontId="1" fillId="2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5">
    <x:dxf>
      <x:font>
        <x:color rgb="FF9C2424"/>
      </x:font>
      <x:fill>
        <x:patternFill>
          <x:bgColor rgb="FFFCE8E6"/>
        </x:patternFill>
      </x:fill>
    </x:dxf>
    <x:dxf>
      <x:font>
        <x:color rgb="FF9C2424"/>
      </x:font>
      <x:fill>
        <x:patternFill>
          <x:bgColor rgb="FFFCE8E6"/>
        </x:patternFill>
      </x:fill>
    </x:dxf>
    <x:dxf>
      <x:font>
        <x:color rgb="FF9C2424"/>
      </x:font>
      <x:fill>
        <x:patternFill>
          <x:bgColor rgb="FFFCE8E6"/>
        </x:patternFill>
      </x:fill>
    </x:dxf>
    <x:dxf>
      <x:font>
        <x:color rgb="FF9C2424"/>
      </x:font>
      <x:fill>
        <x:patternFill>
          <x:bgColor rgb="FFFCE8E6"/>
        </x:patternFill>
      </x:fill>
    </x:dxf>
    <x:dxf>
      <x:font>
        <x:color rgb="FF9C2424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b13545c5dc41a9" /><Relationship Type="http://schemas.openxmlformats.org/officeDocument/2006/relationships/theme" Target="/xl/theme/theme1.xml" Id="Ra83c2bb956d144ea" /><Relationship Type="http://schemas.openxmlformats.org/officeDocument/2006/relationships/sharedStrings" Target="/xl/sharedStrings.xml" Id="R9a2256f817644e9f" /><Relationship Type="http://schemas.openxmlformats.org/officeDocument/2006/relationships/worksheet" Target="/xl/worksheets/sheet1.xml" Id="Raf8cee2623c548d4" /><Relationship Type="http://schemas.openxmlformats.org/officeDocument/2006/relationships/worksheet" Target="/xl/worksheets/sheet2.xml" Id="R505a3a8979ee457b" /><Relationship Type="http://schemas.openxmlformats.org/officeDocument/2006/relationships/worksheet" Target="/xl/worksheets/sheet3.xml" Id="R870f7b7391524a00" /></Relationships>
</file>

<file path=xl/tables/table1.xml><?xml version="1.0" encoding="utf-8"?>
<x:table xmlns:x="http://schemas.openxmlformats.org/spreadsheetml/2006/main" id="1" name="RegistrosDeteccao" displayName="RegistrosDeteccao" ref="A8:L158" headerRowCount="1" totalsRowCount="0" totalsRowShown="0">
  <x:autoFilter ref="A8:L158"/>
  <x:tableColumns count="12">
    <x:tableColumn id="1" name="Execução"/>
    <x:tableColumn id="2" name="Modelo"/>
    <x:tableColumn id="3" name="Código"/>
    <x:tableColumn id="4" name="Repetição"/>
    <x:tableColumn id="5" name="Problemas detectados"/>
    <x:tableColumn id="6" name="VP"/>
    <x:tableColumn id="7" name="FP"/>
    <x:tableColumn id="8" name="FN"/>
    <x:tableColumn id="9" name="Precisão"/>
    <x:tableColumn id="10" name="Revocação"/>
    <x:tableColumn id="11" name="F1"/>
    <x:tableColumn id="12" name="Observaçõ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FrequenciaProblemas" displayName="FrequenciaProblemas" ref="A15:F87" headerRowCount="1" totalsRowCount="0" totalsRowShown="0">
  <x:autoFilter ref="A15:F87"/>
  <x:tableColumns count="6">
    <x:tableColumn id="1" name="Modelo"/>
    <x:tableColumn id="2" name="Problema"/>
    <x:tableColumn id="3" name="Tipo"/>
    <x:tableColumn id="4" name="Detecções"/>
    <x:tableColumn id="5" name="Execuções avaliadas"/>
    <x:tableColumn id="6" name="Frequência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11b359986a47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23312d7fad44d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0" hidden="0" customWidth="1"/>
    <x:col min="4" max="4" width="12" hidden="0" customWidth="1"/>
    <x:col min="5" max="5" width="43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  <x:col min="10" max="10" width="14" hidden="0" customWidth="1"/>
    <x:col min="11" max="11" width="11" hidden="0" customWidth="1"/>
    <x:col min="12" max="12" width="48" hidden="0" customWidth="1"/>
    <x:col min="14" max="39" width="14" hidden="1" customWidth="1"/>
  </x:cols>
  <x:sheetData>
    <x:row r="1" ht="29" customHeight="1">
      <x:c r="A1" s="3" t="str">
        <x:v>ATLAS — Registro das execuções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2" customHeight="1">
      <x:c r="A2" s="5" t="str">
        <x:v>Detecção</x:v>
      </x:c>
      <x:c r="B2" s="5"/>
      <x:c r="C2" s="5" t="str">
        <x:v>10 códigos</x:v>
      </x:c>
      <x:c r="D2" s="5" t="str">
        <x:v>24 problemas</x:v>
      </x:c>
      <x:c r="E2" s="5" t="str">
        <x:v>Uma linha por execução</x:v>
      </x:c>
      <x:c r="F2" s="5"/>
      <x:c r="G2" s="5"/>
      <x:c r="H2" s="5"/>
      <x:c r="I2" s="5"/>
      <x:c r="J2" s="5"/>
      <x:c r="K2" s="5"/>
      <x:c r="L2" s="5"/>
      <x:c r="N2" t="str">
        <x:v>C1-A</x:v>
      </x:c>
      <x:c r="O2" t="str">
        <x:v>C1-B</x:v>
      </x:c>
      <x:c r="P2" t="str">
        <x:v>C2-A</x:v>
      </x:c>
      <x:c r="Q2" t="str">
        <x:v>C2-B</x:v>
      </x:c>
      <x:c r="R2" t="str">
        <x:v>C3-A</x:v>
      </x:c>
      <x:c r="S2" t="str">
        <x:v>C3-B</x:v>
      </x:c>
      <x:c r="T2" t="str">
        <x:v>C4-A</x:v>
      </x:c>
      <x:c r="U2" t="str">
        <x:v>C4-B</x:v>
      </x:c>
      <x:c r="V2" t="str">
        <x:v>C5-A</x:v>
      </x:c>
      <x:c r="W2" t="str">
        <x:v>C5-B</x:v>
      </x:c>
      <x:c r="X2" t="str">
        <x:v>Código</x:v>
      </x:c>
      <x:c r="Y2" t="str">
        <x:v>Problemas esperados</x:v>
      </x:c>
      <x:c r="Z2" t="str">
        <x:v>Código e combinação</x:v>
      </x:c>
      <x:c r="AA2" t="str">
        <x:v>VP</x:v>
      </x:c>
      <x:c r="AC2" t="str">
        <x:v>Repetições</x:v>
      </x:c>
    </x:row>
    <x:row r="3" ht="22" customHeight="1">
      <x:c r="A3" s="6" t="str">
        <x:v>Preenchimento</x:v>
      </x:c>
      <x:c r="B3" s="6"/>
      <x:c r="C3" s="6"/>
      <x:c r="D3" s="6"/>
      <x:c r="E3" s="6" t="str">
        <x:v>Campos amarelos: entrada. Campos cinza: fórmulas.</x:v>
      </x:c>
      <x:c r="F3" s="6"/>
      <x:c r="G3" s="6"/>
      <x:c r="H3" s="6"/>
      <x:c r="I3" s="6"/>
      <x:c r="J3" s="6"/>
      <x:c r="K3" s="6"/>
      <x:c r="L3" s="6" t="str">
        <x:v>Observações: texto livre.</x:v>
      </x:c>
      <x:c r="N3" t="str">
        <x:v>—</x:v>
      </x:c>
      <x:c r="O3" t="str">
        <x:v>—</x:v>
      </x:c>
      <x:c r="P3" t="str">
        <x:v>—</x:v>
      </x:c>
      <x:c r="Q3" t="str">
        <x:v>—</x:v>
      </x:c>
      <x:c r="R3" t="str">
        <x:v>—</x:v>
      </x:c>
      <x:c r="S3" t="str">
        <x:v>—</x:v>
      </x:c>
      <x:c r="T3" t="str">
        <x:v>—</x:v>
      </x:c>
      <x:c r="U3" t="str">
        <x:v>—</x:v>
      </x:c>
      <x:c r="V3" t="str">
        <x:v>—</x:v>
      </x:c>
      <x:c r="W3" t="str">
        <x:v>—</x:v>
      </x:c>
      <x:c r="X3" t="str">
        <x:v>C1-A</x:v>
      </x:c>
      <x:c r="Y3" t="n">
        <x:v>3</x:v>
      </x:c>
      <x:c r="Z3" t="str">
        <x:v>C1-A|—</x:v>
      </x:c>
      <x:c r="AA3" t="n">
        <x:v>0</x:v>
      </x:c>
      <x:c r="AC3" t="n">
        <x:v>1</x:v>
      </x:c>
    </x:row>
    <x:row r="4" ht="22" customHeight="1">
      <x:c r="A4" s="6" t="str">
        <x:v>Problemas</x:v>
      </x:c>
      <x:c r="B4" s="6"/>
      <x:c r="C4" s="6"/>
      <x:c r="D4" s="6"/>
      <x:c r="E4" s="6" t="str">
        <x:v>Selecione o código e depois a combinação de problemas.</x:v>
      </x:c>
      <x:c r="F4" s="6"/>
      <x:c r="G4" s="6"/>
      <x:c r="H4" s="6"/>
      <x:c r="I4" s="6"/>
      <x:c r="J4" s="6"/>
      <x:c r="K4" s="6"/>
      <x:c r="L4" s="6" t="str">
        <x:v>Use — quando nenhum problema for detectado.</x:v>
      </x:c>
      <x:c r="N4" t="str">
        <x:v>C1-A-01</x:v>
      </x:c>
      <x:c r="O4" t="str">
        <x:v>C1-B-01</x:v>
      </x:c>
      <x:c r="P4" t="str">
        <x:v>C2-A-01</x:v>
      </x:c>
      <x:c r="Q4" t="str">
        <x:v>C2-B-01</x:v>
      </x:c>
      <x:c r="R4" t="str">
        <x:v>C3-A-01</x:v>
      </x:c>
      <x:c r="S4" t="str">
        <x:v>C3-B-01</x:v>
      </x:c>
      <x:c r="T4" t="str">
        <x:v>C4-A-01</x:v>
      </x:c>
      <x:c r="U4" t="str">
        <x:v>C4-B-01</x:v>
      </x:c>
      <x:c r="V4" t="str">
        <x:v>C5-A-01</x:v>
      </x:c>
      <x:c r="W4" t="str">
        <x:v>C5-B-01</x:v>
      </x:c>
      <x:c r="X4" t="str">
        <x:v>C1-B</x:v>
      </x:c>
      <x:c r="Y4" t="n">
        <x:v>2</x:v>
      </x:c>
      <x:c r="Z4" t="str">
        <x:v>C1-A|C1-A-01</x:v>
      </x:c>
      <x:c r="AA4" t="n">
        <x:v>1</x:v>
      </x:c>
      <x:c r="AC4" t="n">
        <x:v>2</x:v>
      </x:c>
    </x:row>
    <x:row r="5" ht="22" customHeight="1">
      <x:c r="A5" s="6" t="str">
        <x:v>Falsos positivos</x:v>
      </x:c>
      <x:c r="B5" s="6"/>
      <x:c r="C5" s="6"/>
      <x:c r="D5" s="6"/>
      <x:c r="E5" s="6" t="str">
        <x:v>Informe FP = 0 quando não houver apontamentos indevidos.</x:v>
      </x:c>
      <x:c r="F5" s="6"/>
      <x:c r="G5" s="6"/>
      <x:c r="H5" s="6"/>
      <x:c r="I5" s="6"/>
      <x:c r="J5" s="6"/>
      <x:c r="K5" s="6"/>
      <x:c r="L5" s="6" t="str">
        <x:v>M1: gemma-4-E4B-it-GGUF</x:v>
      </x:c>
      <x:c r="N5" t="str">
        <x:v>C1-A-02</x:v>
      </x:c>
      <x:c r="O5" t="str">
        <x:v>C1-B-02</x:v>
      </x:c>
      <x:c r="P5" t="str">
        <x:v>C2-A-02</x:v>
      </x:c>
      <x:c r="Q5" t="str">
        <x:v>C2-B-02</x:v>
      </x:c>
      <x:c r="R5" t="str">
        <x:v>C3-A-02</x:v>
      </x:c>
      <x:c r="S5" t="str">
        <x:v>C3-B-02</x:v>
      </x:c>
      <x:c r="T5" t="str">
        <x:v>C4-A-02</x:v>
      </x:c>
      <x:c r="U5" t="str">
        <x:v>C4-B-02</x:v>
      </x:c>
      <x:c r="V5" t="str">
        <x:v>C5-A-02</x:v>
      </x:c>
      <x:c r="W5" t="str">
        <x:v>C5-B-02</x:v>
      </x:c>
      <x:c r="X5" t="str">
        <x:v>C2-A</x:v>
      </x:c>
      <x:c r="Y5" t="n">
        <x:v>2</x:v>
      </x:c>
      <x:c r="Z5" t="str">
        <x:v>C1-A|C1-A-02</x:v>
      </x:c>
      <x:c r="AA5" t="n">
        <x:v>1</x:v>
      </x:c>
      <x:c r="AC5" t="n">
        <x:v>3</x:v>
      </x:c>
    </x:row>
    <x:row r="6" ht="22" customHeight="1">
      <x:c r="A6" s="6" t="str">
        <x:v>Repetições</x:v>
      </x:c>
      <x:c r="B6" s="6"/>
      <x:c r="C6" s="6"/>
      <x:c r="D6" s="6"/>
      <x:c r="E6" s="6" t="str">
        <x:v>Cinco repetições por modelo e código. Total: 150 execuções.</x:v>
      </x:c>
      <x:c r="F6" s="6"/>
      <x:c r="G6" s="6"/>
      <x:c r="H6" s="6"/>
      <x:c r="I6" s="6"/>
      <x:c r="J6" s="6"/>
      <x:c r="K6" s="6"/>
      <x:c r="L6" s="6" t="str">
        <x:v>M2: Qwen3.6-27B-GGUF; M3: GPT-5.6 Luna</x:v>
      </x:c>
      <x:c r="N6" t="str">
        <x:v>C1-A-01; C1-A-02</x:v>
      </x:c>
      <x:c r="O6" t="str">
        <x:v>C1-B-01; C1-B-02</x:v>
      </x:c>
      <x:c r="P6" t="str">
        <x:v>C2-A-01; C2-A-02</x:v>
      </x:c>
      <x:c r="Q6" t="str">
        <x:v>C2-B-01; C2-B-02</x:v>
      </x:c>
      <x:c r="R6" t="str">
        <x:v>C3-A-01; C3-A-02</x:v>
      </x:c>
      <x:c r="S6" t="str">
        <x:v>C3-B-01; C3-B-02</x:v>
      </x:c>
      <x:c r="T6" t="str">
        <x:v>C4-A-01; C4-A-02</x:v>
      </x:c>
      <x:c r="U6" t="str">
        <x:v>C4-B-01; C4-B-02</x:v>
      </x:c>
      <x:c r="V6" t="str">
        <x:v>C5-A-01; C5-A-02</x:v>
      </x:c>
      <x:c r="W6" t="str">
        <x:v>C5-B-01; C5-B-02</x:v>
      </x:c>
      <x:c r="X6" t="str">
        <x:v>C2-B</x:v>
      </x:c>
      <x:c r="Y6" t="n">
        <x:v>2</x:v>
      </x:c>
      <x:c r="Z6" t="str">
        <x:v>C1-A|C1-A-01; C1-A-02</x:v>
      </x:c>
      <x:c r="AA6" t="n">
        <x:v>2</x:v>
      </x:c>
      <x:c r="AC6" t="n">
        <x:v>4</x:v>
      </x:c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N7" t="str">
        <x:v>C1-A-03</x:v>
      </x:c>
      <x:c r="O7"/>
      <x:c r="P7"/>
      <x:c r="Q7"/>
      <x:c r="R7" t="str">
        <x:v>C3-A-03</x:v>
      </x:c>
      <x:c r="S7" t="str">
        <x:v>C3-B-03</x:v>
      </x:c>
      <x:c r="T7"/>
      <x:c r="U7"/>
      <x:c r="V7" t="str">
        <x:v>C5-A-03</x:v>
      </x:c>
      <x:c r="W7"/>
      <x:c r="X7" t="str">
        <x:v>C3-A</x:v>
      </x:c>
      <x:c r="Y7" t="n">
        <x:v>3</x:v>
      </x:c>
      <x:c r="Z7" t="str">
        <x:v>C1-A|C1-A-03</x:v>
      </x:c>
      <x:c r="AA7" t="n">
        <x:v>1</x:v>
      </x:c>
      <x:c r="AC7" t="n">
        <x:v>5</x:v>
      </x:c>
    </x:row>
    <x:row r="8" ht="36" customHeight="1">
      <x:c r="A8" s="11" t="str">
        <x:v>Execução</x:v>
      </x:c>
      <x:c r="B8" s="12" t="str">
        <x:v>Modelo</x:v>
      </x:c>
      <x:c r="C8" s="12" t="str">
        <x:v>Código</x:v>
      </x:c>
      <x:c r="D8" s="12" t="str">
        <x:v>Repetição</x:v>
      </x:c>
      <x:c r="E8" s="12" t="str">
        <x:v>Problemas detectados</x:v>
      </x:c>
      <x:c r="F8" s="12" t="str">
        <x:v>VP</x:v>
      </x:c>
      <x:c r="G8" s="12" t="str">
        <x:v>FP</x:v>
      </x:c>
      <x:c r="H8" s="12" t="str">
        <x:v>FN</x:v>
      </x:c>
      <x:c r="I8" s="12" t="str">
        <x:v>Precisão</x:v>
      </x:c>
      <x:c r="J8" s="12" t="str">
        <x:v>Revocação</x:v>
      </x:c>
      <x:c r="K8" s="12" t="str">
        <x:v>F1</x:v>
      </x:c>
      <x:c r="L8" s="13" t="str">
        <x:v>Observações</x:v>
      </x:c>
      <x:c r="N8" t="str">
        <x:v>C1-A-01; C1-A-03</x:v>
      </x:c>
      <x:c r="O8"/>
      <x:c r="P8"/>
      <x:c r="Q8"/>
      <x:c r="R8" t="str">
        <x:v>C3-A-01; C3-A-03</x:v>
      </x:c>
      <x:c r="S8" t="str">
        <x:v>C3-B-01; C3-B-03</x:v>
      </x:c>
      <x:c r="T8"/>
      <x:c r="U8"/>
      <x:c r="V8" t="str">
        <x:v>C5-A-01; C5-A-03</x:v>
      </x:c>
      <x:c r="W8"/>
      <x:c r="X8" t="str">
        <x:v>C3-B</x:v>
      </x:c>
      <x:c r="Y8" t="n">
        <x:v>3</x:v>
      </x:c>
      <x:c r="Z8" t="str">
        <x:v>C1-A|C1-A-01; C1-A-03</x:v>
      </x:c>
      <x:c r="AA8" t="n">
        <x:v>2</x:v>
      </x:c>
      <x:c r="AC8"/>
    </x:row>
    <x:row r="9" ht="36" customHeight="1">
      <x:c r="A9" s="14" t="str">
        <x:v>EXEC-001</x:v>
      </x:c>
      <x:c r="B9" s="19"/>
      <x:c r="C9" s="19"/>
      <x:c r="D9" s="24"/>
      <x:c r="E9" s="25"/>
      <x:c r="F9" s="26" t="str">
        <x:f>IF(OR(C9="",E9=""),"",IF(COUNTIF($Z$3:$Z$58,C9&amp;"|"&amp;E9)=0,"",VLOOKUP(C9&amp;"|"&amp;E9,$Z$3:$AA$58,2,FALSE)))</x:f>
      </x:c>
      <x:c r="G9" s="24"/>
      <x:c r="H9" s="26" t="str">
        <x:f>IF(ISNUMBER(F9),VLOOKUP(C9,$X$3:$Y$12,2,FALSE)-F9,"")</x:f>
      </x:c>
      <x:c r="I9" s="27" t="str">
        <x:f>IF(AND(B9&lt;&gt;"",D9&lt;&gt;"",COUNT(F9:H9)=3),IF(AND(G9&gt;=0,G9=INT(G9)),IF(F9+G9=0,"Indefinida",F9/(F9+G9)),""),"")</x:f>
      </x:c>
      <x:c r="J9" s="27" t="str">
        <x:f>IF(AND(B9&lt;&gt;"",D9&lt;&gt;"",COUNT(F9:H9)=3),IF(AND(G9&gt;=0,G9=INT(G9)),F9/(F9+H9),""),"")</x:f>
      </x:c>
      <x:c r="K9" s="27" t="str">
        <x:f>IF(AND(B9&lt;&gt;"",D9&lt;&gt;"",COUNT(F9:H9)=3),IF(AND(G9&gt;=0,G9=INT(G9)),2*F9/(2*F9+G9+H9),""),"")</x:f>
      </x:c>
      <x:c r="L9" s="22"/>
      <x:c r="N9" t="str">
        <x:v>C1-A-02; C1-A-03</x:v>
      </x:c>
      <x:c r="O9"/>
      <x:c r="P9"/>
      <x:c r="Q9"/>
      <x:c r="R9" t="str">
        <x:v>C3-A-02; C3-A-03</x:v>
      </x:c>
      <x:c r="S9" t="str">
        <x:v>C3-B-02; C3-B-03</x:v>
      </x:c>
      <x:c r="T9"/>
      <x:c r="U9"/>
      <x:c r="V9" t="str">
        <x:v>C5-A-02; C5-A-03</x:v>
      </x:c>
      <x:c r="W9"/>
      <x:c r="X9" t="str">
        <x:v>C4-A</x:v>
      </x:c>
      <x:c r="Y9" t="n">
        <x:v>2</x:v>
      </x:c>
      <x:c r="Z9" t="str">
        <x:v>C1-A|C1-A-02; C1-A-03</x:v>
      </x:c>
      <x:c r="AA9" t="n">
        <x:v>2</x:v>
      </x:c>
      <x:c r="AC9"/>
    </x:row>
    <x:row r="10" ht="36" customHeight="1">
      <x:c r="A10" s="14" t="str">
        <x:v>EXEC-002</x:v>
      </x:c>
      <x:c r="B10" s="19"/>
      <x:c r="C10" s="19"/>
      <x:c r="D10" s="24"/>
      <x:c r="E10" s="25"/>
      <x:c r="F10" s="26" t="str">
        <x:f>IF(OR(C10="",E10=""),"",IF(COUNTIF($Z$3:$Z$58,C10&amp;"|"&amp;E10)=0,"",VLOOKUP(C10&amp;"|"&amp;E10,$Z$3:$AA$58,2,FALSE)))</x:f>
      </x:c>
      <x:c r="G10" s="24"/>
      <x:c r="H10" s="26" t="str">
        <x:f>IF(ISNUMBER(F10),VLOOKUP(C10,$X$3:$Y$12,2,FALSE)-F10,"")</x:f>
      </x:c>
      <x:c r="I10" s="27" t="str">
        <x:f>IF(AND(B10&lt;&gt;"",D10&lt;&gt;"",COUNT(F10:H10)=3),IF(AND(G10&gt;=0,G10=INT(G10)),IF(F10+G10=0,"Indefinida",F10/(F10+G10)),""),"")</x:f>
      </x:c>
      <x:c r="J10" s="27" t="str">
        <x:f>IF(AND(B10&lt;&gt;"",D10&lt;&gt;"",COUNT(F10:H10)=3),IF(AND(G10&gt;=0,G10=INT(G10)),F10/(F10+H10),""),"")</x:f>
      </x:c>
      <x:c r="K10" s="27" t="str">
        <x:f>IF(AND(B10&lt;&gt;"",D10&lt;&gt;"",COUNT(F10:H10)=3),IF(AND(G10&gt;=0,G10=INT(G10)),2*F10/(2*F10+G10+H10),""),"")</x:f>
      </x:c>
      <x:c r="L10" s="22"/>
      <x:c r="N10" t="str">
        <x:v>C1-A-01; C1-A-02; C1-A-03</x:v>
      </x:c>
      <x:c r="O10"/>
      <x:c r="P10"/>
      <x:c r="Q10"/>
      <x:c r="R10" t="str">
        <x:v>C3-A-01; C3-A-02; C3-A-03</x:v>
      </x:c>
      <x:c r="S10" t="str">
        <x:v>C3-B-01; C3-B-02; C3-B-03</x:v>
      </x:c>
      <x:c r="T10"/>
      <x:c r="U10"/>
      <x:c r="V10" t="str">
        <x:v>C5-A-01; C5-A-02; C5-A-03</x:v>
      </x:c>
      <x:c r="W10"/>
      <x:c r="X10" t="str">
        <x:v>C4-B</x:v>
      </x:c>
      <x:c r="Y10" t="n">
        <x:v>2</x:v>
      </x:c>
      <x:c r="Z10" t="str">
        <x:v>C1-A|C1-A-01; C1-A-02; C1-A-03</x:v>
      </x:c>
      <x:c r="AA10" t="n">
        <x:v>3</x:v>
      </x:c>
      <x:c r="AC10"/>
    </x:row>
    <x:row r="11" ht="36" customHeight="1">
      <x:c r="A11" s="14" t="str">
        <x:v>EXEC-003</x:v>
      </x:c>
      <x:c r="B11" s="19"/>
      <x:c r="C11" s="19"/>
      <x:c r="D11" s="24"/>
      <x:c r="E11" s="25"/>
      <x:c r="F11" s="26" t="str">
        <x:f>IF(OR(C11="",E11=""),"",IF(COUNTIF($Z$3:$Z$58,C11&amp;"|"&amp;E11)=0,"",VLOOKUP(C11&amp;"|"&amp;E11,$Z$3:$AA$58,2,FALSE)))</x:f>
      </x:c>
      <x:c r="G11" s="24"/>
      <x:c r="H11" s="26" t="str">
        <x:f>IF(ISNUMBER(F11),VLOOKUP(C11,$X$3:$Y$12,2,FALSE)-F11,"")</x:f>
      </x:c>
      <x:c r="I11" s="27" t="str">
        <x:f>IF(AND(B11&lt;&gt;"",D11&lt;&gt;"",COUNT(F11:H11)=3),IF(AND(G11&gt;=0,G11=INT(G11)),IF(F11+G11=0,"Indefinida",F11/(F11+G11)),""),"")</x:f>
      </x:c>
      <x:c r="J11" s="27" t="str">
        <x:f>IF(AND(B11&lt;&gt;"",D11&lt;&gt;"",COUNT(F11:H11)=3),IF(AND(G11&gt;=0,G11=INT(G11)),F11/(F11+H11),""),"")</x:f>
      </x:c>
      <x:c r="K11" s="27" t="str">
        <x:f>IF(AND(B11&lt;&gt;"",D11&lt;&gt;"",COUNT(F11:H11)=3),IF(AND(G11&gt;=0,G11=INT(G11)),2*F11/(2*F11+G11+H11),""),"")</x:f>
      </x:c>
      <x:c r="L11" s="22"/>
      <x:c r="X11" t="str">
        <x:v>C5-A</x:v>
      </x:c>
      <x:c r="Y11" t="n">
        <x:v>3</x:v>
      </x:c>
      <x:c r="Z11" t="str">
        <x:v>C1-B|—</x:v>
      </x:c>
      <x:c r="AA11" t="n">
        <x:v>0</x:v>
      </x:c>
      <x:c r="AC11"/>
    </x:row>
    <x:row r="12" ht="36" customHeight="1">
      <x:c r="A12" s="14" t="str">
        <x:v>EXEC-004</x:v>
      </x:c>
      <x:c r="B12" s="19"/>
      <x:c r="C12" s="19"/>
      <x:c r="D12" s="24"/>
      <x:c r="E12" s="25"/>
      <x:c r="F12" s="26" t="str">
        <x:f>IF(OR(C12="",E12=""),"",IF(COUNTIF($Z$3:$Z$58,C12&amp;"|"&amp;E12)=0,"",VLOOKUP(C12&amp;"|"&amp;E12,$Z$3:$AA$58,2,FALSE)))</x:f>
      </x:c>
      <x:c r="G12" s="24"/>
      <x:c r="H12" s="26" t="str">
        <x:f>IF(ISNUMBER(F12),VLOOKUP(C12,$X$3:$Y$12,2,FALSE)-F12,"")</x:f>
      </x:c>
      <x:c r="I12" s="27" t="str">
        <x:f>IF(AND(B12&lt;&gt;"",D12&lt;&gt;"",COUNT(F12:H12)=3),IF(AND(G12&gt;=0,G12=INT(G12)),IF(F12+G12=0,"Indefinida",F12/(F12+G12)),""),"")</x:f>
      </x:c>
      <x:c r="J12" s="27" t="str">
        <x:f>IF(AND(B12&lt;&gt;"",D12&lt;&gt;"",COUNT(F12:H12)=3),IF(AND(G12&gt;=0,G12=INT(G12)),F12/(F12+H12),""),"")</x:f>
      </x:c>
      <x:c r="K12" s="27" t="str">
        <x:f>IF(AND(B12&lt;&gt;"",D12&lt;&gt;"",COUNT(F12:H12)=3),IF(AND(G12&gt;=0,G12=INT(G12)),2*F12/(2*F12+G12+H12),""),"")</x:f>
      </x:c>
      <x:c r="L12" s="22"/>
      <x:c r="X12" t="str">
        <x:v>C5-B</x:v>
      </x:c>
      <x:c r="Y12" t="n">
        <x:v>2</x:v>
      </x:c>
      <x:c r="Z12" t="str">
        <x:v>C1-B|C1-B-01</x:v>
      </x:c>
      <x:c r="AA12" t="n">
        <x:v>1</x:v>
      </x:c>
      <x:c r="AC12"/>
    </x:row>
    <x:row r="13" ht="36" customHeight="1">
      <x:c r="A13" s="14" t="str">
        <x:v>EXEC-005</x:v>
      </x:c>
      <x:c r="B13" s="19"/>
      <x:c r="C13" s="19"/>
      <x:c r="D13" s="24"/>
      <x:c r="E13" s="25"/>
      <x:c r="F13" s="26" t="str">
        <x:f>IF(OR(C13="",E13=""),"",IF(COUNTIF($Z$3:$Z$58,C13&amp;"|"&amp;E13)=0,"",VLOOKUP(C13&amp;"|"&amp;E13,$Z$3:$AA$58,2,FALSE)))</x:f>
      </x:c>
      <x:c r="G13" s="24"/>
      <x:c r="H13" s="26" t="str">
        <x:f>IF(ISNUMBER(F13),VLOOKUP(C13,$X$3:$Y$12,2,FALSE)-F13,"")</x:f>
      </x:c>
      <x:c r="I13" s="27" t="str">
        <x:f>IF(AND(B13&lt;&gt;"",D13&lt;&gt;"",COUNT(F13:H13)=3),IF(AND(G13&gt;=0,G13=INT(G13)),IF(F13+G13=0,"Indefinida",F13/(F13+G13)),""),"")</x:f>
      </x:c>
      <x:c r="J13" s="27" t="str">
        <x:f>IF(AND(B13&lt;&gt;"",D13&lt;&gt;"",COUNT(F13:H13)=3),IF(AND(G13&gt;=0,G13=INT(G13)),F13/(F13+H13),""),"")</x:f>
      </x:c>
      <x:c r="K13" s="27" t="str">
        <x:f>IF(AND(B13&lt;&gt;"",D13&lt;&gt;"",COUNT(F13:H13)=3),IF(AND(G13&gt;=0,G13=INT(G13)),2*F13/(2*F13+G13+H13),""),"")</x:f>
      </x:c>
      <x:c r="L13" s="22"/>
      <x:c r="Z13" t="str">
        <x:v>C1-B|C1-B-02</x:v>
      </x:c>
      <x:c r="AA13" t="n">
        <x:v>1</x:v>
      </x:c>
    </x:row>
    <x:row r="14" ht="36" customHeight="1">
      <x:c r="A14" s="14" t="str">
        <x:v>EXEC-006</x:v>
      </x:c>
      <x:c r="B14" s="19"/>
      <x:c r="C14" s="19"/>
      <x:c r="D14" s="24"/>
      <x:c r="E14" s="25"/>
      <x:c r="F14" s="26" t="str">
        <x:f>IF(OR(C14="",E14=""),"",IF(COUNTIF($Z$3:$Z$58,C14&amp;"|"&amp;E14)=0,"",VLOOKUP(C14&amp;"|"&amp;E14,$Z$3:$AA$58,2,FALSE)))</x:f>
      </x:c>
      <x:c r="G14" s="24"/>
      <x:c r="H14" s="26" t="str">
        <x:f>IF(ISNUMBER(F14),VLOOKUP(C14,$X$3:$Y$12,2,FALSE)-F14,"")</x:f>
      </x:c>
      <x:c r="I14" s="27" t="str">
        <x:f>IF(AND(B14&lt;&gt;"",D14&lt;&gt;"",COUNT(F14:H14)=3),IF(AND(G14&gt;=0,G14=INT(G14)),IF(F14+G14=0,"Indefinida",F14/(F14+G14)),""),"")</x:f>
      </x:c>
      <x:c r="J14" s="27" t="str">
        <x:f>IF(AND(B14&lt;&gt;"",D14&lt;&gt;"",COUNT(F14:H14)=3),IF(AND(G14&gt;=0,G14=INT(G14)),F14/(F14+H14),""),"")</x:f>
      </x:c>
      <x:c r="K14" s="27" t="str">
        <x:f>IF(AND(B14&lt;&gt;"",D14&lt;&gt;"",COUNT(F14:H14)=3),IF(AND(G14&gt;=0,G14=INT(G14)),2*F14/(2*F14+G14+H14),""),"")</x:f>
      </x:c>
      <x:c r="L14" s="22"/>
      <x:c r="Z14" t="str">
        <x:v>C1-B|C1-B-01; C1-B-02</x:v>
      </x:c>
      <x:c r="AA14" t="n">
        <x:v>2</x:v>
      </x:c>
      <x:c r="AD14"/>
      <x:c r="AE14"/>
      <x:c r="AF14"/>
      <x:c r="AG14"/>
      <x:c r="AH14"/>
      <x:c r="AI14"/>
      <x:c r="AJ14"/>
      <x:c r="AK14"/>
      <x:c r="AL14"/>
      <x:c r="AM14"/>
    </x:row>
    <x:row r="15" ht="36" customHeight="1">
      <x:c r="A15" s="14" t="str">
        <x:v>EXEC-007</x:v>
      </x:c>
      <x:c r="B15" s="19"/>
      <x:c r="C15" s="19"/>
      <x:c r="D15" s="24"/>
      <x:c r="E15" s="25"/>
      <x:c r="F15" s="26" t="str">
        <x:f>IF(OR(C15="",E15=""),"",IF(COUNTIF($Z$3:$Z$58,C15&amp;"|"&amp;E15)=0,"",VLOOKUP(C15&amp;"|"&amp;E15,$Z$3:$AA$58,2,FALSE)))</x:f>
      </x:c>
      <x:c r="G15" s="24"/>
      <x:c r="H15" s="26" t="str">
        <x:f>IF(ISNUMBER(F15),VLOOKUP(C15,$X$3:$Y$12,2,FALSE)-F15,"")</x:f>
      </x:c>
      <x:c r="I15" s="27" t="str">
        <x:f>IF(AND(B15&lt;&gt;"",D15&lt;&gt;"",COUNT(F15:H15)=3),IF(AND(G15&gt;=0,G15=INT(G15)),IF(F15+G15=0,"Indefinida",F15/(F15+G15)),""),"")</x:f>
      </x:c>
      <x:c r="J15" s="27" t="str">
        <x:f>IF(AND(B15&lt;&gt;"",D15&lt;&gt;"",COUNT(F15:H15)=3),IF(AND(G15&gt;=0,G15=INT(G15)),F15/(F15+H15),""),"")</x:f>
      </x:c>
      <x:c r="K15" s="27" t="str">
        <x:f>IF(AND(B15&lt;&gt;"",D15&lt;&gt;"",COUNT(F15:H15)=3),IF(AND(G15&gt;=0,G15=INT(G15)),2*F15/(2*F15+G15+H15),""),"")</x:f>
      </x:c>
      <x:c r="L15" s="22"/>
      <x:c r="Z15" t="str">
        <x:v>C2-A|—</x:v>
      </x:c>
      <x:c r="AA15" t="n">
        <x:v>0</x:v>
      </x:c>
      <x:c r="AD15"/>
      <x:c r="AE15"/>
      <x:c r="AF15"/>
      <x:c r="AG15"/>
      <x:c r="AH15"/>
      <x:c r="AI15"/>
      <x:c r="AJ15"/>
      <x:c r="AK15"/>
      <x:c r="AL15"/>
      <x:c r="AM15"/>
    </x:row>
    <x:row r="16" ht="36" customHeight="1">
      <x:c r="A16" s="14" t="str">
        <x:v>EXEC-008</x:v>
      </x:c>
      <x:c r="B16" s="19"/>
      <x:c r="C16" s="19"/>
      <x:c r="D16" s="24"/>
      <x:c r="E16" s="25"/>
      <x:c r="F16" s="26" t="str">
        <x:f>IF(OR(C16="",E16=""),"",IF(COUNTIF($Z$3:$Z$58,C16&amp;"|"&amp;E16)=0,"",VLOOKUP(C16&amp;"|"&amp;E16,$Z$3:$AA$58,2,FALSE)))</x:f>
      </x:c>
      <x:c r="G16" s="24"/>
      <x:c r="H16" s="26" t="str">
        <x:f>IF(ISNUMBER(F16),VLOOKUP(C16,$X$3:$Y$12,2,FALSE)-F16,"")</x:f>
      </x:c>
      <x:c r="I16" s="27" t="str">
        <x:f>IF(AND(B16&lt;&gt;"",D16&lt;&gt;"",COUNT(F16:H16)=3),IF(AND(G16&gt;=0,G16=INT(G16)),IF(F16+G16=0,"Indefinida",F16/(F16+G16)),""),"")</x:f>
      </x:c>
      <x:c r="J16" s="27" t="str">
        <x:f>IF(AND(B16&lt;&gt;"",D16&lt;&gt;"",COUNT(F16:H16)=3),IF(AND(G16&gt;=0,G16=INT(G16)),F16/(F16+H16),""),"")</x:f>
      </x:c>
      <x:c r="K16" s="27" t="str">
        <x:f>IF(AND(B16&lt;&gt;"",D16&lt;&gt;"",COUNT(F16:H16)=3),IF(AND(G16&gt;=0,G16=INT(G16)),2*F16/(2*F16+G16+H16),""),"")</x:f>
      </x:c>
      <x:c r="L16" s="22"/>
      <x:c r="Z16" t="str">
        <x:v>C2-A|C2-A-01</x:v>
      </x:c>
      <x:c r="AA16" t="n">
        <x:v>1</x:v>
      </x:c>
      <x:c r="AD16"/>
      <x:c r="AE16"/>
      <x:c r="AF16"/>
      <x:c r="AG16"/>
      <x:c r="AH16"/>
      <x:c r="AI16"/>
      <x:c r="AJ16"/>
      <x:c r="AK16"/>
      <x:c r="AL16"/>
      <x:c r="AM16"/>
    </x:row>
    <x:row r="17" ht="36" customHeight="1">
      <x:c r="A17" s="14" t="str">
        <x:v>EXEC-009</x:v>
      </x:c>
      <x:c r="B17" s="19"/>
      <x:c r="C17" s="19"/>
      <x:c r="D17" s="24"/>
      <x:c r="E17" s="25"/>
      <x:c r="F17" s="26" t="str">
        <x:f>IF(OR(C17="",E17=""),"",IF(COUNTIF($Z$3:$Z$58,C17&amp;"|"&amp;E17)=0,"",VLOOKUP(C17&amp;"|"&amp;E17,$Z$3:$AA$58,2,FALSE)))</x:f>
      </x:c>
      <x:c r="G17" s="24"/>
      <x:c r="H17" s="26" t="str">
        <x:f>IF(ISNUMBER(F17),VLOOKUP(C17,$X$3:$Y$12,2,FALSE)-F17,"")</x:f>
      </x:c>
      <x:c r="I17" s="27" t="str">
        <x:f>IF(AND(B17&lt;&gt;"",D17&lt;&gt;"",COUNT(F17:H17)=3),IF(AND(G17&gt;=0,G17=INT(G17)),IF(F17+G17=0,"Indefinida",F17/(F17+G17)),""),"")</x:f>
      </x:c>
      <x:c r="J17" s="27" t="str">
        <x:f>IF(AND(B17&lt;&gt;"",D17&lt;&gt;"",COUNT(F17:H17)=3),IF(AND(G17&gt;=0,G17=INT(G17)),F17/(F17+H17),""),"")</x:f>
      </x:c>
      <x:c r="K17" s="27" t="str">
        <x:f>IF(AND(B17&lt;&gt;"",D17&lt;&gt;"",COUNT(F17:H17)=3),IF(AND(G17&gt;=0,G17=INT(G17)),2*F17/(2*F17+G17+H17),""),"")</x:f>
      </x:c>
      <x:c r="L17" s="22"/>
      <x:c r="Z17" t="str">
        <x:v>C2-A|C2-A-02</x:v>
      </x:c>
      <x:c r="AA17" t="n">
        <x:v>1</x:v>
      </x:c>
      <x:c r="AD17"/>
      <x:c r="AE17"/>
      <x:c r="AF17"/>
      <x:c r="AG17"/>
      <x:c r="AH17"/>
      <x:c r="AI17"/>
      <x:c r="AJ17"/>
      <x:c r="AK17"/>
      <x:c r="AL17"/>
      <x:c r="AM17"/>
    </x:row>
    <x:row r="18" ht="36" customHeight="1">
      <x:c r="A18" s="14" t="str">
        <x:v>EXEC-010</x:v>
      </x:c>
      <x:c r="B18" s="19"/>
      <x:c r="C18" s="19"/>
      <x:c r="D18" s="24"/>
      <x:c r="E18" s="25"/>
      <x:c r="F18" s="26" t="str">
        <x:f>IF(OR(C18="",E18=""),"",IF(COUNTIF($Z$3:$Z$58,C18&amp;"|"&amp;E18)=0,"",VLOOKUP(C18&amp;"|"&amp;E18,$Z$3:$AA$58,2,FALSE)))</x:f>
      </x:c>
      <x:c r="G18" s="24"/>
      <x:c r="H18" s="26" t="str">
        <x:f>IF(ISNUMBER(F18),VLOOKUP(C18,$X$3:$Y$12,2,FALSE)-F18,"")</x:f>
      </x:c>
      <x:c r="I18" s="27" t="str">
        <x:f>IF(AND(B18&lt;&gt;"",D18&lt;&gt;"",COUNT(F18:H18)=3),IF(AND(G18&gt;=0,G18=INT(G18)),IF(F18+G18=0,"Indefinida",F18/(F18+G18)),""),"")</x:f>
      </x:c>
      <x:c r="J18" s="27" t="str">
        <x:f>IF(AND(B18&lt;&gt;"",D18&lt;&gt;"",COUNT(F18:H18)=3),IF(AND(G18&gt;=0,G18=INT(G18)),F18/(F18+H18),""),"")</x:f>
      </x:c>
      <x:c r="K18" s="27" t="str">
        <x:f>IF(AND(B18&lt;&gt;"",D18&lt;&gt;"",COUNT(F18:H18)=3),IF(AND(G18&gt;=0,G18=INT(G18)),2*F18/(2*F18+G18+H18),""),"")</x:f>
      </x:c>
      <x:c r="L18" s="22"/>
      <x:c r="Z18" t="str">
        <x:v>C2-A|C2-A-01; C2-A-02</x:v>
      </x:c>
      <x:c r="AA18" t="n">
        <x:v>2</x:v>
      </x:c>
      <x:c r="AD18"/>
      <x:c r="AE18"/>
      <x:c r="AF18"/>
      <x:c r="AG18"/>
      <x:c r="AH18"/>
      <x:c r="AI18"/>
      <x:c r="AJ18"/>
      <x:c r="AK18"/>
      <x:c r="AL18"/>
      <x:c r="AM18"/>
    </x:row>
    <x:row r="19" ht="36" customHeight="1">
      <x:c r="A19" s="14" t="str">
        <x:v>EXEC-011</x:v>
      </x:c>
      <x:c r="B19" s="19"/>
      <x:c r="C19" s="19"/>
      <x:c r="D19" s="24"/>
      <x:c r="E19" s="25"/>
      <x:c r="F19" s="26" t="str">
        <x:f>IF(OR(C19="",E19=""),"",IF(COUNTIF($Z$3:$Z$58,C19&amp;"|"&amp;E19)=0,"",VLOOKUP(C19&amp;"|"&amp;E19,$Z$3:$AA$58,2,FALSE)))</x:f>
      </x:c>
      <x:c r="G19" s="24"/>
      <x:c r="H19" s="26" t="str">
        <x:f>IF(ISNUMBER(F19),VLOOKUP(C19,$X$3:$Y$12,2,FALSE)-F19,"")</x:f>
      </x:c>
      <x:c r="I19" s="27" t="str">
        <x:f>IF(AND(B19&lt;&gt;"",D19&lt;&gt;"",COUNT(F19:H19)=3),IF(AND(G19&gt;=0,G19=INT(G19)),IF(F19+G19=0,"Indefinida",F19/(F19+G19)),""),"")</x:f>
      </x:c>
      <x:c r="J19" s="27" t="str">
        <x:f>IF(AND(B19&lt;&gt;"",D19&lt;&gt;"",COUNT(F19:H19)=3),IF(AND(G19&gt;=0,G19=INT(G19)),F19/(F19+H19),""),"")</x:f>
      </x:c>
      <x:c r="K19" s="27" t="str">
        <x:f>IF(AND(B19&lt;&gt;"",D19&lt;&gt;"",COUNT(F19:H19)=3),IF(AND(G19&gt;=0,G19=INT(G19)),2*F19/(2*F19+G19+H19),""),"")</x:f>
      </x:c>
      <x:c r="L19" s="22"/>
      <x:c r="Z19" t="str">
        <x:v>C2-B|—</x:v>
      </x:c>
      <x:c r="AA19" t="n">
        <x:v>0</x:v>
      </x:c>
      <x:c r="AD19"/>
      <x:c r="AE19"/>
      <x:c r="AF19"/>
      <x:c r="AG19"/>
      <x:c r="AH19"/>
      <x:c r="AI19"/>
      <x:c r="AJ19"/>
      <x:c r="AK19"/>
      <x:c r="AL19"/>
      <x:c r="AM19"/>
    </x:row>
    <x:row r="20" ht="36" customHeight="1">
      <x:c r="A20" s="14" t="str">
        <x:v>EXEC-012</x:v>
      </x:c>
      <x:c r="B20" s="19"/>
      <x:c r="C20" s="19"/>
      <x:c r="D20" s="24"/>
      <x:c r="E20" s="25"/>
      <x:c r="F20" s="26" t="str">
        <x:f>IF(OR(C20="",E20=""),"",IF(COUNTIF($Z$3:$Z$58,C20&amp;"|"&amp;E20)=0,"",VLOOKUP(C20&amp;"|"&amp;E20,$Z$3:$AA$58,2,FALSE)))</x:f>
      </x:c>
      <x:c r="G20" s="24"/>
      <x:c r="H20" s="26" t="str">
        <x:f>IF(ISNUMBER(F20),VLOOKUP(C20,$X$3:$Y$12,2,FALSE)-F20,"")</x:f>
      </x:c>
      <x:c r="I20" s="27" t="str">
        <x:f>IF(AND(B20&lt;&gt;"",D20&lt;&gt;"",COUNT(F20:H20)=3),IF(AND(G20&gt;=0,G20=INT(G20)),IF(F20+G20=0,"Indefinida",F20/(F20+G20)),""),"")</x:f>
      </x:c>
      <x:c r="J20" s="27" t="str">
        <x:f>IF(AND(B20&lt;&gt;"",D20&lt;&gt;"",COUNT(F20:H20)=3),IF(AND(G20&gt;=0,G20=INT(G20)),F20/(F20+H20),""),"")</x:f>
      </x:c>
      <x:c r="K20" s="27" t="str">
        <x:f>IF(AND(B20&lt;&gt;"",D20&lt;&gt;"",COUNT(F20:H20)=3),IF(AND(G20&gt;=0,G20=INT(G20)),2*F20/(2*F20+G20+H20),""),"")</x:f>
      </x:c>
      <x:c r="L20" s="22"/>
      <x:c r="Z20" t="str">
        <x:v>C2-B|C2-B-01</x:v>
      </x:c>
      <x:c r="AA20" t="n">
        <x:v>1</x:v>
      </x:c>
      <x:c r="AD20"/>
      <x:c r="AE20"/>
      <x:c r="AF20"/>
      <x:c r="AG20"/>
      <x:c r="AH20"/>
      <x:c r="AI20"/>
      <x:c r="AJ20"/>
      <x:c r="AK20"/>
      <x:c r="AL20"/>
      <x:c r="AM20"/>
    </x:row>
    <x:row r="21" ht="36" customHeight="1">
      <x:c r="A21" s="14" t="str">
        <x:v>EXEC-013</x:v>
      </x:c>
      <x:c r="B21" s="19"/>
      <x:c r="C21" s="19"/>
      <x:c r="D21" s="24"/>
      <x:c r="E21" s="25"/>
      <x:c r="F21" s="26" t="str">
        <x:f>IF(OR(C21="",E21=""),"",IF(COUNTIF($Z$3:$Z$58,C21&amp;"|"&amp;E21)=0,"",VLOOKUP(C21&amp;"|"&amp;E21,$Z$3:$AA$58,2,FALSE)))</x:f>
      </x:c>
      <x:c r="G21" s="24"/>
      <x:c r="H21" s="26" t="str">
        <x:f>IF(ISNUMBER(F21),VLOOKUP(C21,$X$3:$Y$12,2,FALSE)-F21,"")</x:f>
      </x:c>
      <x:c r="I21" s="27" t="str">
        <x:f>IF(AND(B21&lt;&gt;"",D21&lt;&gt;"",COUNT(F21:H21)=3),IF(AND(G21&gt;=0,G21=INT(G21)),IF(F21+G21=0,"Indefinida",F21/(F21+G21)),""),"")</x:f>
      </x:c>
      <x:c r="J21" s="27" t="str">
        <x:f>IF(AND(B21&lt;&gt;"",D21&lt;&gt;"",COUNT(F21:H21)=3),IF(AND(G21&gt;=0,G21=INT(G21)),F21/(F21+H21),""),"")</x:f>
      </x:c>
      <x:c r="K21" s="27" t="str">
        <x:f>IF(AND(B21&lt;&gt;"",D21&lt;&gt;"",COUNT(F21:H21)=3),IF(AND(G21&gt;=0,G21=INT(G21)),2*F21/(2*F21+G21+H21),""),"")</x:f>
      </x:c>
      <x:c r="L21" s="22"/>
      <x:c r="Z21" t="str">
        <x:v>C2-B|C2-B-02</x:v>
      </x:c>
      <x:c r="AA21" t="n">
        <x:v>1</x:v>
      </x:c>
      <x:c r="AD21"/>
      <x:c r="AE21"/>
      <x:c r="AF21"/>
      <x:c r="AG21"/>
      <x:c r="AH21"/>
      <x:c r="AI21"/>
      <x:c r="AJ21"/>
      <x:c r="AK21"/>
      <x:c r="AL21"/>
      <x:c r="AM21"/>
    </x:row>
    <x:row r="22" ht="36" customHeight="1">
      <x:c r="A22" s="14" t="str">
        <x:v>EXEC-014</x:v>
      </x:c>
      <x:c r="B22" s="19"/>
      <x:c r="C22" s="19"/>
      <x:c r="D22" s="24"/>
      <x:c r="E22" s="25"/>
      <x:c r="F22" s="26" t="str">
        <x:f>IF(OR(C22="",E22=""),"",IF(COUNTIF($Z$3:$Z$58,C22&amp;"|"&amp;E22)=0,"",VLOOKUP(C22&amp;"|"&amp;E22,$Z$3:$AA$58,2,FALSE)))</x:f>
      </x:c>
      <x:c r="G22" s="24"/>
      <x:c r="H22" s="26" t="str">
        <x:f>IF(ISNUMBER(F22),VLOOKUP(C22,$X$3:$Y$12,2,FALSE)-F22,"")</x:f>
      </x:c>
      <x:c r="I22" s="27" t="str">
        <x:f>IF(AND(B22&lt;&gt;"",D22&lt;&gt;"",COUNT(F22:H22)=3),IF(AND(G22&gt;=0,G22=INT(G22)),IF(F22+G22=0,"Indefinida",F22/(F22+G22)),""),"")</x:f>
      </x:c>
      <x:c r="J22" s="27" t="str">
        <x:f>IF(AND(B22&lt;&gt;"",D22&lt;&gt;"",COUNT(F22:H22)=3),IF(AND(G22&gt;=0,G22=INT(G22)),F22/(F22+H22),""),"")</x:f>
      </x:c>
      <x:c r="K22" s="27" t="str">
        <x:f>IF(AND(B22&lt;&gt;"",D22&lt;&gt;"",COUNT(F22:H22)=3),IF(AND(G22&gt;=0,G22=INT(G22)),2*F22/(2*F22+G22+H22),""),"")</x:f>
      </x:c>
      <x:c r="L22" s="22"/>
      <x:c r="Z22" t="str">
        <x:v>C2-B|C2-B-01; C2-B-02</x:v>
      </x:c>
      <x:c r="AA22" t="n">
        <x:v>2</x:v>
      </x:c>
      <x:c r="AD22"/>
      <x:c r="AE22"/>
      <x:c r="AF22"/>
      <x:c r="AG22"/>
      <x:c r="AH22"/>
      <x:c r="AI22"/>
      <x:c r="AJ22"/>
      <x:c r="AK22"/>
      <x:c r="AL22"/>
      <x:c r="AM22"/>
    </x:row>
    <x:row r="23" ht="36" customHeight="1">
      <x:c r="A23" s="14" t="str">
        <x:v>EXEC-015</x:v>
      </x:c>
      <x:c r="B23" s="19"/>
      <x:c r="C23" s="19"/>
      <x:c r="D23" s="24"/>
      <x:c r="E23" s="25"/>
      <x:c r="F23" s="26" t="str">
        <x:f>IF(OR(C23="",E23=""),"",IF(COUNTIF($Z$3:$Z$58,C23&amp;"|"&amp;E23)=0,"",VLOOKUP(C23&amp;"|"&amp;E23,$Z$3:$AA$58,2,FALSE)))</x:f>
      </x:c>
      <x:c r="G23" s="24"/>
      <x:c r="H23" s="26" t="str">
        <x:f>IF(ISNUMBER(F23),VLOOKUP(C23,$X$3:$Y$12,2,FALSE)-F23,"")</x:f>
      </x:c>
      <x:c r="I23" s="27" t="str">
        <x:f>IF(AND(B23&lt;&gt;"",D23&lt;&gt;"",COUNT(F23:H23)=3),IF(AND(G23&gt;=0,G23=INT(G23)),IF(F23+G23=0,"Indefinida",F23/(F23+G23)),""),"")</x:f>
      </x:c>
      <x:c r="J23" s="27" t="str">
        <x:f>IF(AND(B23&lt;&gt;"",D23&lt;&gt;"",COUNT(F23:H23)=3),IF(AND(G23&gt;=0,G23=INT(G23)),F23/(F23+H23),""),"")</x:f>
      </x:c>
      <x:c r="K23" s="27" t="str">
        <x:f>IF(AND(B23&lt;&gt;"",D23&lt;&gt;"",COUNT(F23:H23)=3),IF(AND(G23&gt;=0,G23=INT(G23)),2*F23/(2*F23+G23+H23),""),"")</x:f>
      </x:c>
      <x:c r="L23" s="22"/>
      <x:c r="Z23" t="str">
        <x:v>C3-A|—</x:v>
      </x:c>
      <x:c r="AA23" t="n">
        <x:v>0</x:v>
      </x:c>
      <x:c r="AD23"/>
      <x:c r="AE23"/>
      <x:c r="AF23"/>
      <x:c r="AG23"/>
      <x:c r="AH23"/>
      <x:c r="AI23"/>
      <x:c r="AJ23"/>
      <x:c r="AK23"/>
      <x:c r="AL23"/>
      <x:c r="AM23"/>
    </x:row>
    <x:row r="24" ht="36" customHeight="1">
      <x:c r="A24" s="14" t="str">
        <x:v>EXEC-016</x:v>
      </x:c>
      <x:c r="B24" s="19"/>
      <x:c r="C24" s="19"/>
      <x:c r="D24" s="24"/>
      <x:c r="E24" s="25"/>
      <x:c r="F24" s="26" t="str">
        <x:f>IF(OR(C24="",E24=""),"",IF(COUNTIF($Z$3:$Z$58,C24&amp;"|"&amp;E24)=0,"",VLOOKUP(C24&amp;"|"&amp;E24,$Z$3:$AA$58,2,FALSE)))</x:f>
      </x:c>
      <x:c r="G24" s="24"/>
      <x:c r="H24" s="26" t="str">
        <x:f>IF(ISNUMBER(F24),VLOOKUP(C24,$X$3:$Y$12,2,FALSE)-F24,"")</x:f>
      </x:c>
      <x:c r="I24" s="27" t="str">
        <x:f>IF(AND(B24&lt;&gt;"",D24&lt;&gt;"",COUNT(F24:H24)=3),IF(AND(G24&gt;=0,G24=INT(G24)),IF(F24+G24=0,"Indefinida",F24/(F24+G24)),""),"")</x:f>
      </x:c>
      <x:c r="J24" s="27" t="str">
        <x:f>IF(AND(B24&lt;&gt;"",D24&lt;&gt;"",COUNT(F24:H24)=3),IF(AND(G24&gt;=0,G24=INT(G24)),F24/(F24+H24),""),"")</x:f>
      </x:c>
      <x:c r="K24" s="27" t="str">
        <x:f>IF(AND(B24&lt;&gt;"",D24&lt;&gt;"",COUNT(F24:H24)=3),IF(AND(G24&gt;=0,G24=INT(G24)),2*F24/(2*F24+G24+H24),""),"")</x:f>
      </x:c>
      <x:c r="L24" s="22"/>
      <x:c r="Z24" t="str">
        <x:v>C3-A|C3-A-01</x:v>
      </x:c>
      <x:c r="AA24" t="n">
        <x:v>1</x:v>
      </x:c>
      <x:c r="AD24"/>
      <x:c r="AE24"/>
      <x:c r="AF24"/>
      <x:c r="AG24"/>
      <x:c r="AH24"/>
      <x:c r="AI24"/>
      <x:c r="AJ24"/>
      <x:c r="AK24"/>
      <x:c r="AL24"/>
      <x:c r="AM24"/>
    </x:row>
    <x:row r="25" ht="36" customHeight="1">
      <x:c r="A25" s="14" t="str">
        <x:v>EXEC-017</x:v>
      </x:c>
      <x:c r="B25" s="19"/>
      <x:c r="C25" s="19"/>
      <x:c r="D25" s="24"/>
      <x:c r="E25" s="25"/>
      <x:c r="F25" s="26" t="str">
        <x:f>IF(OR(C25="",E25=""),"",IF(COUNTIF($Z$3:$Z$58,C25&amp;"|"&amp;E25)=0,"",VLOOKUP(C25&amp;"|"&amp;E25,$Z$3:$AA$58,2,FALSE)))</x:f>
      </x:c>
      <x:c r="G25" s="24"/>
      <x:c r="H25" s="26" t="str">
        <x:f>IF(ISNUMBER(F25),VLOOKUP(C25,$X$3:$Y$12,2,FALSE)-F25,"")</x:f>
      </x:c>
      <x:c r="I25" s="27" t="str">
        <x:f>IF(AND(B25&lt;&gt;"",D25&lt;&gt;"",COUNT(F25:H25)=3),IF(AND(G25&gt;=0,G25=INT(G25)),IF(F25+G25=0,"Indefinida",F25/(F25+G25)),""),"")</x:f>
      </x:c>
      <x:c r="J25" s="27" t="str">
        <x:f>IF(AND(B25&lt;&gt;"",D25&lt;&gt;"",COUNT(F25:H25)=3),IF(AND(G25&gt;=0,G25=INT(G25)),F25/(F25+H25),""),"")</x:f>
      </x:c>
      <x:c r="K25" s="27" t="str">
        <x:f>IF(AND(B25&lt;&gt;"",D25&lt;&gt;"",COUNT(F25:H25)=3),IF(AND(G25&gt;=0,G25=INT(G25)),2*F25/(2*F25+G25+H25),""),"")</x:f>
      </x:c>
      <x:c r="L25" s="22"/>
      <x:c r="Z25" t="str">
        <x:v>C3-A|C3-A-02</x:v>
      </x:c>
      <x:c r="AA25" t="n">
        <x:v>1</x:v>
      </x:c>
      <x:c r="AD25"/>
      <x:c r="AE25"/>
      <x:c r="AF25"/>
      <x:c r="AG25"/>
      <x:c r="AH25"/>
      <x:c r="AI25"/>
      <x:c r="AJ25"/>
      <x:c r="AK25"/>
      <x:c r="AL25"/>
      <x:c r="AM25"/>
    </x:row>
    <x:row r="26" ht="36" customHeight="1">
      <x:c r="A26" s="14" t="str">
        <x:v>EXEC-018</x:v>
      </x:c>
      <x:c r="B26" s="19"/>
      <x:c r="C26" s="19"/>
      <x:c r="D26" s="24"/>
      <x:c r="E26" s="25"/>
      <x:c r="F26" s="26" t="str">
        <x:f>IF(OR(C26="",E26=""),"",IF(COUNTIF($Z$3:$Z$58,C26&amp;"|"&amp;E26)=0,"",VLOOKUP(C26&amp;"|"&amp;E26,$Z$3:$AA$58,2,FALSE)))</x:f>
      </x:c>
      <x:c r="G26" s="24"/>
      <x:c r="H26" s="26" t="str">
        <x:f>IF(ISNUMBER(F26),VLOOKUP(C26,$X$3:$Y$12,2,FALSE)-F26,"")</x:f>
      </x:c>
      <x:c r="I26" s="27" t="str">
        <x:f>IF(AND(B26&lt;&gt;"",D26&lt;&gt;"",COUNT(F26:H26)=3),IF(AND(G26&gt;=0,G26=INT(G26)),IF(F26+G26=0,"Indefinida",F26/(F26+G26)),""),"")</x:f>
      </x:c>
      <x:c r="J26" s="27" t="str">
        <x:f>IF(AND(B26&lt;&gt;"",D26&lt;&gt;"",COUNT(F26:H26)=3),IF(AND(G26&gt;=0,G26=INT(G26)),F26/(F26+H26),""),"")</x:f>
      </x:c>
      <x:c r="K26" s="27" t="str">
        <x:f>IF(AND(B26&lt;&gt;"",D26&lt;&gt;"",COUNT(F26:H26)=3),IF(AND(G26&gt;=0,G26=INT(G26)),2*F26/(2*F26+G26+H26),""),"")</x:f>
      </x:c>
      <x:c r="L26" s="22"/>
      <x:c r="Z26" t="str">
        <x:v>C3-A|C3-A-01; C3-A-02</x:v>
      </x:c>
      <x:c r="AA26" t="n">
        <x:v>2</x:v>
      </x:c>
      <x:c r="AD26"/>
      <x:c r="AE26"/>
      <x:c r="AF26"/>
      <x:c r="AG26"/>
      <x:c r="AH26"/>
      <x:c r="AI26"/>
      <x:c r="AJ26"/>
      <x:c r="AK26"/>
      <x:c r="AL26"/>
      <x:c r="AM26"/>
    </x:row>
    <x:row r="27" ht="36" customHeight="1">
      <x:c r="A27" s="14" t="str">
        <x:v>EXEC-019</x:v>
      </x:c>
      <x:c r="B27" s="19"/>
      <x:c r="C27" s="19"/>
      <x:c r="D27" s="24"/>
      <x:c r="E27" s="25"/>
      <x:c r="F27" s="26" t="str">
        <x:f>IF(OR(C27="",E27=""),"",IF(COUNTIF($Z$3:$Z$58,C27&amp;"|"&amp;E27)=0,"",VLOOKUP(C27&amp;"|"&amp;E27,$Z$3:$AA$58,2,FALSE)))</x:f>
      </x:c>
      <x:c r="G27" s="24"/>
      <x:c r="H27" s="26" t="str">
        <x:f>IF(ISNUMBER(F27),VLOOKUP(C27,$X$3:$Y$12,2,FALSE)-F27,"")</x:f>
      </x:c>
      <x:c r="I27" s="27" t="str">
        <x:f>IF(AND(B27&lt;&gt;"",D27&lt;&gt;"",COUNT(F27:H27)=3),IF(AND(G27&gt;=0,G27=INT(G27)),IF(F27+G27=0,"Indefinida",F27/(F27+G27)),""),"")</x:f>
      </x:c>
      <x:c r="J27" s="27" t="str">
        <x:f>IF(AND(B27&lt;&gt;"",D27&lt;&gt;"",COUNT(F27:H27)=3),IF(AND(G27&gt;=0,G27=INT(G27)),F27/(F27+H27),""),"")</x:f>
      </x:c>
      <x:c r="K27" s="27" t="str">
        <x:f>IF(AND(B27&lt;&gt;"",D27&lt;&gt;"",COUNT(F27:H27)=3),IF(AND(G27&gt;=0,G27=INT(G27)),2*F27/(2*F27+G27+H27),""),"")</x:f>
      </x:c>
      <x:c r="L27" s="22"/>
      <x:c r="Z27" t="str">
        <x:v>C3-B|—</x:v>
      </x:c>
      <x:c r="AA27" t="n">
        <x:v>0</x:v>
      </x:c>
      <x:c r="AD27"/>
      <x:c r="AE27"/>
      <x:c r="AF27"/>
      <x:c r="AG27"/>
      <x:c r="AH27"/>
      <x:c r="AI27"/>
      <x:c r="AJ27"/>
      <x:c r="AK27"/>
      <x:c r="AL27"/>
      <x:c r="AM27"/>
    </x:row>
    <x:row r="28" ht="36" customHeight="1">
      <x:c r="A28" s="14" t="str">
        <x:v>EXEC-020</x:v>
      </x:c>
      <x:c r="B28" s="19"/>
      <x:c r="C28" s="19"/>
      <x:c r="D28" s="24"/>
      <x:c r="E28" s="25"/>
      <x:c r="F28" s="26" t="str">
        <x:f>IF(OR(C28="",E28=""),"",IF(COUNTIF($Z$3:$Z$58,C28&amp;"|"&amp;E28)=0,"",VLOOKUP(C28&amp;"|"&amp;E28,$Z$3:$AA$58,2,FALSE)))</x:f>
      </x:c>
      <x:c r="G28" s="24"/>
      <x:c r="H28" s="26" t="str">
        <x:f>IF(ISNUMBER(F28),VLOOKUP(C28,$X$3:$Y$12,2,FALSE)-F28,"")</x:f>
      </x:c>
      <x:c r="I28" s="27" t="str">
        <x:f>IF(AND(B28&lt;&gt;"",D28&lt;&gt;"",COUNT(F28:H28)=3),IF(AND(G28&gt;=0,G28=INT(G28)),IF(F28+G28=0,"Indefinida",F28/(F28+G28)),""),"")</x:f>
      </x:c>
      <x:c r="J28" s="27" t="str">
        <x:f>IF(AND(B28&lt;&gt;"",D28&lt;&gt;"",COUNT(F28:H28)=3),IF(AND(G28&gt;=0,G28=INT(G28)),F28/(F28+H28),""),"")</x:f>
      </x:c>
      <x:c r="K28" s="27" t="str">
        <x:f>IF(AND(B28&lt;&gt;"",D28&lt;&gt;"",COUNT(F28:H28)=3),IF(AND(G28&gt;=0,G28=INT(G28)),2*F28/(2*F28+G28+H28),""),"")</x:f>
      </x:c>
      <x:c r="L28" s="22"/>
      <x:c r="Z28" t="str">
        <x:v>C3-B|C3-B-01</x:v>
      </x:c>
      <x:c r="AA28" t="n">
        <x:v>1</x:v>
      </x:c>
      <x:c r="AD28"/>
      <x:c r="AE28"/>
      <x:c r="AF28"/>
      <x:c r="AG28"/>
      <x:c r="AH28"/>
      <x:c r="AI28"/>
      <x:c r="AJ28"/>
      <x:c r="AK28"/>
      <x:c r="AL28"/>
      <x:c r="AM28"/>
    </x:row>
    <x:row r="29" ht="36" customHeight="1">
      <x:c r="A29" s="14" t="str">
        <x:v>EXEC-021</x:v>
      </x:c>
      <x:c r="B29" s="19"/>
      <x:c r="C29" s="19"/>
      <x:c r="D29" s="24"/>
      <x:c r="E29" s="25"/>
      <x:c r="F29" s="26" t="str">
        <x:f>IF(OR(C29="",E29=""),"",IF(COUNTIF($Z$3:$Z$58,C29&amp;"|"&amp;E29)=0,"",VLOOKUP(C29&amp;"|"&amp;E29,$Z$3:$AA$58,2,FALSE)))</x:f>
      </x:c>
      <x:c r="G29" s="24"/>
      <x:c r="H29" s="26" t="str">
        <x:f>IF(ISNUMBER(F29),VLOOKUP(C29,$X$3:$Y$12,2,FALSE)-F29,"")</x:f>
      </x:c>
      <x:c r="I29" s="27" t="str">
        <x:f>IF(AND(B29&lt;&gt;"",D29&lt;&gt;"",COUNT(F29:H29)=3),IF(AND(G29&gt;=0,G29=INT(G29)),IF(F29+G29=0,"Indefinida",F29/(F29+G29)),""),"")</x:f>
      </x:c>
      <x:c r="J29" s="27" t="str">
        <x:f>IF(AND(B29&lt;&gt;"",D29&lt;&gt;"",COUNT(F29:H29)=3),IF(AND(G29&gt;=0,G29=INT(G29)),F29/(F29+H29),""),"")</x:f>
      </x:c>
      <x:c r="K29" s="27" t="str">
        <x:f>IF(AND(B29&lt;&gt;"",D29&lt;&gt;"",COUNT(F29:H29)=3),IF(AND(G29&gt;=0,G29=INT(G29)),2*F29/(2*F29+G29+H29),""),"")</x:f>
      </x:c>
      <x:c r="L29" s="22"/>
      <x:c r="Z29" t="str">
        <x:v>C3-B|C3-B-02</x:v>
      </x:c>
      <x:c r="AA29" t="n">
        <x:v>1</x:v>
      </x:c>
      <x:c r="AD29"/>
      <x:c r="AE29"/>
      <x:c r="AF29"/>
      <x:c r="AG29"/>
      <x:c r="AH29"/>
      <x:c r="AI29"/>
      <x:c r="AJ29"/>
      <x:c r="AK29"/>
      <x:c r="AL29"/>
      <x:c r="AM29"/>
    </x:row>
    <x:row r="30" ht="36" customHeight="1">
      <x:c r="A30" s="14" t="str">
        <x:v>EXEC-022</x:v>
      </x:c>
      <x:c r="B30" s="19"/>
      <x:c r="C30" s="19"/>
      <x:c r="D30" s="24"/>
      <x:c r="E30" s="25"/>
      <x:c r="F30" s="26" t="str">
        <x:f>IF(OR(C30="",E30=""),"",IF(COUNTIF($Z$3:$Z$58,C30&amp;"|"&amp;E30)=0,"",VLOOKUP(C30&amp;"|"&amp;E30,$Z$3:$AA$58,2,FALSE)))</x:f>
      </x:c>
      <x:c r="G30" s="24"/>
      <x:c r="H30" s="26" t="str">
        <x:f>IF(ISNUMBER(F30),VLOOKUP(C30,$X$3:$Y$12,2,FALSE)-F30,"")</x:f>
      </x:c>
      <x:c r="I30" s="27" t="str">
        <x:f>IF(AND(B30&lt;&gt;"",D30&lt;&gt;"",COUNT(F30:H30)=3),IF(AND(G30&gt;=0,G30=INT(G30)),IF(F30+G30=0,"Indefinida",F30/(F30+G30)),""),"")</x:f>
      </x:c>
      <x:c r="J30" s="27" t="str">
        <x:f>IF(AND(B30&lt;&gt;"",D30&lt;&gt;"",COUNT(F30:H30)=3),IF(AND(G30&gt;=0,G30=INT(G30)),F30/(F30+H30),""),"")</x:f>
      </x:c>
      <x:c r="K30" s="27" t="str">
        <x:f>IF(AND(B30&lt;&gt;"",D30&lt;&gt;"",COUNT(F30:H30)=3),IF(AND(G30&gt;=0,G30=INT(G30)),2*F30/(2*F30+G30+H30),""),"")</x:f>
      </x:c>
      <x:c r="L30" s="22"/>
      <x:c r="Z30" t="str">
        <x:v>C3-B|C3-B-01; C3-B-02</x:v>
      </x:c>
      <x:c r="AA30" t="n">
        <x:v>2</x:v>
      </x:c>
      <x:c r="AD30"/>
      <x:c r="AE30"/>
      <x:c r="AF30"/>
      <x:c r="AG30"/>
      <x:c r="AH30"/>
      <x:c r="AI30"/>
      <x:c r="AJ30"/>
      <x:c r="AK30"/>
      <x:c r="AL30"/>
      <x:c r="AM30"/>
    </x:row>
    <x:row r="31" ht="36" customHeight="1">
      <x:c r="A31" s="14" t="str">
        <x:v>EXEC-023</x:v>
      </x:c>
      <x:c r="B31" s="19"/>
      <x:c r="C31" s="19"/>
      <x:c r="D31" s="24"/>
      <x:c r="E31" s="25"/>
      <x:c r="F31" s="26" t="str">
        <x:f>IF(OR(C31="",E31=""),"",IF(COUNTIF($Z$3:$Z$58,C31&amp;"|"&amp;E31)=0,"",VLOOKUP(C31&amp;"|"&amp;E31,$Z$3:$AA$58,2,FALSE)))</x:f>
      </x:c>
      <x:c r="G31" s="24"/>
      <x:c r="H31" s="26" t="str">
        <x:f>IF(ISNUMBER(F31),VLOOKUP(C31,$X$3:$Y$12,2,FALSE)-F31,"")</x:f>
      </x:c>
      <x:c r="I31" s="27" t="str">
        <x:f>IF(AND(B31&lt;&gt;"",D31&lt;&gt;"",COUNT(F31:H31)=3),IF(AND(G31&gt;=0,G31=INT(G31)),IF(F31+G31=0,"Indefinida",F31/(F31+G31)),""),"")</x:f>
      </x:c>
      <x:c r="J31" s="27" t="str">
        <x:f>IF(AND(B31&lt;&gt;"",D31&lt;&gt;"",COUNT(F31:H31)=3),IF(AND(G31&gt;=0,G31=INT(G31)),F31/(F31+H31),""),"")</x:f>
      </x:c>
      <x:c r="K31" s="27" t="str">
        <x:f>IF(AND(B31&lt;&gt;"",D31&lt;&gt;"",COUNT(F31:H31)=3),IF(AND(G31&gt;=0,G31=INT(G31)),2*F31/(2*F31+G31+H31),""),"")</x:f>
      </x:c>
      <x:c r="L31" s="22"/>
      <x:c r="Z31" t="str">
        <x:v>C3-B|C3-B-03</x:v>
      </x:c>
      <x:c r="AA31" t="n">
        <x:v>1</x:v>
      </x:c>
      <x:c r="AD31"/>
      <x:c r="AE31"/>
      <x:c r="AF31"/>
      <x:c r="AG31"/>
      <x:c r="AH31"/>
      <x:c r="AI31"/>
      <x:c r="AJ31"/>
      <x:c r="AK31"/>
      <x:c r="AL31"/>
      <x:c r="AM31"/>
    </x:row>
    <x:row r="32" ht="36" customHeight="1">
      <x:c r="A32" s="14" t="str">
        <x:v>EXEC-024</x:v>
      </x:c>
      <x:c r="B32" s="19"/>
      <x:c r="C32" s="19"/>
      <x:c r="D32" s="24"/>
      <x:c r="E32" s="25"/>
      <x:c r="F32" s="26" t="str">
        <x:f>IF(OR(C32="",E32=""),"",IF(COUNTIF($Z$3:$Z$58,C32&amp;"|"&amp;E32)=0,"",VLOOKUP(C32&amp;"|"&amp;E32,$Z$3:$AA$58,2,FALSE)))</x:f>
      </x:c>
      <x:c r="G32" s="24"/>
      <x:c r="H32" s="26" t="str">
        <x:f>IF(ISNUMBER(F32),VLOOKUP(C32,$X$3:$Y$12,2,FALSE)-F32,"")</x:f>
      </x:c>
      <x:c r="I32" s="27" t="str">
        <x:f>IF(AND(B32&lt;&gt;"",D32&lt;&gt;"",COUNT(F32:H32)=3),IF(AND(G32&gt;=0,G32=INT(G32)),IF(F32+G32=0,"Indefinida",F32/(F32+G32)),""),"")</x:f>
      </x:c>
      <x:c r="J32" s="27" t="str">
        <x:f>IF(AND(B32&lt;&gt;"",D32&lt;&gt;"",COUNT(F32:H32)=3),IF(AND(G32&gt;=0,G32=INT(G32)),F32/(F32+H32),""),"")</x:f>
      </x:c>
      <x:c r="K32" s="27" t="str">
        <x:f>IF(AND(B32&lt;&gt;"",D32&lt;&gt;"",COUNT(F32:H32)=3),IF(AND(G32&gt;=0,G32=INT(G32)),2*F32/(2*F32+G32+H32),""),"")</x:f>
      </x:c>
      <x:c r="L32" s="22"/>
      <x:c r="Z32" t="str">
        <x:v>C3-B|C3-B-01; C3-B-03</x:v>
      </x:c>
      <x:c r="AA32" t="n">
        <x:v>2</x:v>
      </x:c>
      <x:c r="AD32"/>
      <x:c r="AE32"/>
      <x:c r="AF32"/>
      <x:c r="AG32"/>
      <x:c r="AH32"/>
      <x:c r="AI32"/>
      <x:c r="AJ32"/>
      <x:c r="AK32"/>
      <x:c r="AL32"/>
      <x:c r="AM32"/>
    </x:row>
    <x:row r="33" ht="36" customHeight="1">
      <x:c r="A33" s="14" t="str">
        <x:v>EXEC-025</x:v>
      </x:c>
      <x:c r="B33" s="19"/>
      <x:c r="C33" s="19"/>
      <x:c r="D33" s="24"/>
      <x:c r="E33" s="25"/>
      <x:c r="F33" s="26" t="str">
        <x:f>IF(OR(C33="",E33=""),"",IF(COUNTIF($Z$3:$Z$58,C33&amp;"|"&amp;E33)=0,"",VLOOKUP(C33&amp;"|"&amp;E33,$Z$3:$AA$58,2,FALSE)))</x:f>
      </x:c>
      <x:c r="G33" s="24"/>
      <x:c r="H33" s="26" t="str">
        <x:f>IF(ISNUMBER(F33),VLOOKUP(C33,$X$3:$Y$12,2,FALSE)-F33,"")</x:f>
      </x:c>
      <x:c r="I33" s="27" t="str">
        <x:f>IF(AND(B33&lt;&gt;"",D33&lt;&gt;"",COUNT(F33:H33)=3),IF(AND(G33&gt;=0,G33=INT(G33)),IF(F33+G33=0,"Indefinida",F33/(F33+G33)),""),"")</x:f>
      </x:c>
      <x:c r="J33" s="27" t="str">
        <x:f>IF(AND(B33&lt;&gt;"",D33&lt;&gt;"",COUNT(F33:H33)=3),IF(AND(G33&gt;=0,G33=INT(G33)),F33/(F33+H33),""),"")</x:f>
      </x:c>
      <x:c r="K33" s="27" t="str">
        <x:f>IF(AND(B33&lt;&gt;"",D33&lt;&gt;"",COUNT(F33:H33)=3),IF(AND(G33&gt;=0,G33=INT(G33)),2*F33/(2*F33+G33+H33),""),"")</x:f>
      </x:c>
      <x:c r="L33" s="22"/>
      <x:c r="Z33" t="str">
        <x:v>C3-B|C3-B-02; C3-B-03</x:v>
      </x:c>
      <x:c r="AA33" t="n">
        <x:v>2</x:v>
      </x:c>
      <x:c r="AD33"/>
      <x:c r="AE33"/>
      <x:c r="AF33"/>
      <x:c r="AG33"/>
      <x:c r="AH33"/>
      <x:c r="AI33"/>
      <x:c r="AJ33"/>
      <x:c r="AK33"/>
      <x:c r="AL33"/>
      <x:c r="AM33"/>
    </x:row>
    <x:row r="34" ht="36" customHeight="1">
      <x:c r="A34" s="14" t="str">
        <x:v>EXEC-026</x:v>
      </x:c>
      <x:c r="B34" s="19"/>
      <x:c r="C34" s="19"/>
      <x:c r="D34" s="24"/>
      <x:c r="E34" s="25"/>
      <x:c r="F34" s="26" t="str">
        <x:f>IF(OR(C34="",E34=""),"",IF(COUNTIF($Z$3:$Z$58,C34&amp;"|"&amp;E34)=0,"",VLOOKUP(C34&amp;"|"&amp;E34,$Z$3:$AA$58,2,FALSE)))</x:f>
      </x:c>
      <x:c r="G34" s="24"/>
      <x:c r="H34" s="26" t="str">
        <x:f>IF(ISNUMBER(F34),VLOOKUP(C34,$X$3:$Y$12,2,FALSE)-F34,"")</x:f>
      </x:c>
      <x:c r="I34" s="27" t="str">
        <x:f>IF(AND(B34&lt;&gt;"",D34&lt;&gt;"",COUNT(F34:H34)=3),IF(AND(G34&gt;=0,G34=INT(G34)),IF(F34+G34=0,"Indefinida",F34/(F34+G34)),""),"")</x:f>
      </x:c>
      <x:c r="J34" s="27" t="str">
        <x:f>IF(AND(B34&lt;&gt;"",D34&lt;&gt;"",COUNT(F34:H34)=3),IF(AND(G34&gt;=0,G34=INT(G34)),F34/(F34+H34),""),"")</x:f>
      </x:c>
      <x:c r="K34" s="27" t="str">
        <x:f>IF(AND(B34&lt;&gt;"",D34&lt;&gt;"",COUNT(F34:H34)=3),IF(AND(G34&gt;=0,G34=INT(G34)),2*F34/(2*F34+G34+H34),""),"")</x:f>
      </x:c>
      <x:c r="L34" s="22"/>
      <x:c r="Z34" t="str">
        <x:v>C3-B|C3-B-01; C3-B-02; C3-B-03</x:v>
      </x:c>
      <x:c r="AA34" t="n">
        <x:v>3</x:v>
      </x:c>
      <x:c r="AD34"/>
      <x:c r="AE34"/>
      <x:c r="AF34"/>
      <x:c r="AG34"/>
      <x:c r="AH34"/>
      <x:c r="AI34"/>
      <x:c r="AJ34"/>
      <x:c r="AK34"/>
      <x:c r="AL34"/>
      <x:c r="AM34"/>
    </x:row>
    <x:row r="35" ht="36" customHeight="1">
      <x:c r="A35" s="14" t="str">
        <x:v>EXEC-027</x:v>
      </x:c>
      <x:c r="B35" s="19"/>
      <x:c r="C35" s="19"/>
      <x:c r="D35" s="24"/>
      <x:c r="E35" s="25"/>
      <x:c r="F35" s="26" t="str">
        <x:f>IF(OR(C35="",E35=""),"",IF(COUNTIF($Z$3:$Z$58,C35&amp;"|"&amp;E35)=0,"",VLOOKUP(C35&amp;"|"&amp;E35,$Z$3:$AA$58,2,FALSE)))</x:f>
      </x:c>
      <x:c r="G35" s="24"/>
      <x:c r="H35" s="26" t="str">
        <x:f>IF(ISNUMBER(F35),VLOOKUP(C35,$X$3:$Y$12,2,FALSE)-F35,"")</x:f>
      </x:c>
      <x:c r="I35" s="27" t="str">
        <x:f>IF(AND(B35&lt;&gt;"",D35&lt;&gt;"",COUNT(F35:H35)=3),IF(AND(G35&gt;=0,G35=INT(G35)),IF(F35+G35=0,"Indefinida",F35/(F35+G35)),""),"")</x:f>
      </x:c>
      <x:c r="J35" s="27" t="str">
        <x:f>IF(AND(B35&lt;&gt;"",D35&lt;&gt;"",COUNT(F35:H35)=3),IF(AND(G35&gt;=0,G35=INT(G35)),F35/(F35+H35),""),"")</x:f>
      </x:c>
      <x:c r="K35" s="27" t="str">
        <x:f>IF(AND(B35&lt;&gt;"",D35&lt;&gt;"",COUNT(F35:H35)=3),IF(AND(G35&gt;=0,G35=INT(G35)),2*F35/(2*F35+G35+H35),""),"")</x:f>
      </x:c>
      <x:c r="L35" s="22"/>
      <x:c r="Z35" t="str">
        <x:v>C4-A|—</x:v>
      </x:c>
      <x:c r="AA35" t="n">
        <x:v>0</x:v>
      </x:c>
      <x:c r="AD35"/>
      <x:c r="AE35"/>
      <x:c r="AF35"/>
      <x:c r="AG35"/>
      <x:c r="AH35"/>
      <x:c r="AI35"/>
      <x:c r="AJ35"/>
      <x:c r="AK35"/>
      <x:c r="AL35"/>
      <x:c r="AM35"/>
    </x:row>
    <x:row r="36" ht="36" customHeight="1">
      <x:c r="A36" s="14" t="str">
        <x:v>EXEC-028</x:v>
      </x:c>
      <x:c r="B36" s="19"/>
      <x:c r="C36" s="19"/>
      <x:c r="D36" s="24"/>
      <x:c r="E36" s="25"/>
      <x:c r="F36" s="26" t="str">
        <x:f>IF(OR(C36="",E36=""),"",IF(COUNTIF($Z$3:$Z$58,C36&amp;"|"&amp;E36)=0,"",VLOOKUP(C36&amp;"|"&amp;E36,$Z$3:$AA$58,2,FALSE)))</x:f>
      </x:c>
      <x:c r="G36" s="24"/>
      <x:c r="H36" s="26" t="str">
        <x:f>IF(ISNUMBER(F36),VLOOKUP(C36,$X$3:$Y$12,2,FALSE)-F36,"")</x:f>
      </x:c>
      <x:c r="I36" s="27" t="str">
        <x:f>IF(AND(B36&lt;&gt;"",D36&lt;&gt;"",COUNT(F36:H36)=3),IF(AND(G36&gt;=0,G36=INT(G36)),IF(F36+G36=0,"Indefinida",F36/(F36+G36)),""),"")</x:f>
      </x:c>
      <x:c r="J36" s="27" t="str">
        <x:f>IF(AND(B36&lt;&gt;"",D36&lt;&gt;"",COUNT(F36:H36)=3),IF(AND(G36&gt;=0,G36=INT(G36)),F36/(F36+H36),""),"")</x:f>
      </x:c>
      <x:c r="K36" s="27" t="str">
        <x:f>IF(AND(B36&lt;&gt;"",D36&lt;&gt;"",COUNT(F36:H36)=3),IF(AND(G36&gt;=0,G36=INT(G36)),2*F36/(2*F36+G36+H36),""),"")</x:f>
      </x:c>
      <x:c r="L36" s="22"/>
      <x:c r="Z36" t="str">
        <x:v>C4-A|C4-A-01</x:v>
      </x:c>
      <x:c r="AA36" t="n">
        <x:v>1</x:v>
      </x:c>
      <x:c r="AD36"/>
      <x:c r="AE36"/>
      <x:c r="AF36"/>
      <x:c r="AG36"/>
      <x:c r="AH36"/>
      <x:c r="AI36"/>
      <x:c r="AJ36"/>
      <x:c r="AK36"/>
      <x:c r="AL36"/>
      <x:c r="AM36"/>
    </x:row>
    <x:row r="37" ht="36" customHeight="1">
      <x:c r="A37" s="14" t="str">
        <x:v>EXEC-029</x:v>
      </x:c>
      <x:c r="B37" s="19"/>
      <x:c r="C37" s="19"/>
      <x:c r="D37" s="24"/>
      <x:c r="E37" s="25"/>
      <x:c r="F37" s="26" t="str">
        <x:f>IF(OR(C37="",E37=""),"",IF(COUNTIF($Z$3:$Z$58,C37&amp;"|"&amp;E37)=0,"",VLOOKUP(C37&amp;"|"&amp;E37,$Z$3:$AA$58,2,FALSE)))</x:f>
      </x:c>
      <x:c r="G37" s="24"/>
      <x:c r="H37" s="26" t="str">
        <x:f>IF(ISNUMBER(F37),VLOOKUP(C37,$X$3:$Y$12,2,FALSE)-F37,"")</x:f>
      </x:c>
      <x:c r="I37" s="27" t="str">
        <x:f>IF(AND(B37&lt;&gt;"",D37&lt;&gt;"",COUNT(F37:H37)=3),IF(AND(G37&gt;=0,G37=INT(G37)),IF(F37+G37=0,"Indefinida",F37/(F37+G37)),""),"")</x:f>
      </x:c>
      <x:c r="J37" s="27" t="str">
        <x:f>IF(AND(B37&lt;&gt;"",D37&lt;&gt;"",COUNT(F37:H37)=3),IF(AND(G37&gt;=0,G37=INT(G37)),F37/(F37+H37),""),"")</x:f>
      </x:c>
      <x:c r="K37" s="27" t="str">
        <x:f>IF(AND(B37&lt;&gt;"",D37&lt;&gt;"",COUNT(F37:H37)=3),IF(AND(G37&gt;=0,G37=INT(G37)),2*F37/(2*F37+G37+H37),""),"")</x:f>
      </x:c>
      <x:c r="L37" s="22"/>
      <x:c r="Z37" t="str">
        <x:v>C4-A|C4-A-02</x:v>
      </x:c>
      <x:c r="AA37" t="n">
        <x:v>1</x:v>
      </x:c>
      <x:c r="AD37"/>
      <x:c r="AE37"/>
      <x:c r="AF37"/>
      <x:c r="AG37"/>
      <x:c r="AH37"/>
      <x:c r="AI37"/>
      <x:c r="AJ37"/>
      <x:c r="AK37"/>
      <x:c r="AL37"/>
      <x:c r="AM37"/>
    </x:row>
    <x:row r="38" ht="36" customHeight="1">
      <x:c r="A38" s="14" t="str">
        <x:v>EXEC-030</x:v>
      </x:c>
      <x:c r="B38" s="19"/>
      <x:c r="C38" s="19"/>
      <x:c r="D38" s="24"/>
      <x:c r="E38" s="25"/>
      <x:c r="F38" s="26" t="str">
        <x:f>IF(OR(C38="",E38=""),"",IF(COUNTIF($Z$3:$Z$58,C38&amp;"|"&amp;E38)=0,"",VLOOKUP(C38&amp;"|"&amp;E38,$Z$3:$AA$58,2,FALSE)))</x:f>
      </x:c>
      <x:c r="G38" s="24"/>
      <x:c r="H38" s="26" t="str">
        <x:f>IF(ISNUMBER(F38),VLOOKUP(C38,$X$3:$Y$12,2,FALSE)-F38,"")</x:f>
      </x:c>
      <x:c r="I38" s="27" t="str">
        <x:f>IF(AND(B38&lt;&gt;"",D38&lt;&gt;"",COUNT(F38:H38)=3),IF(AND(G38&gt;=0,G38=INT(G38)),IF(F38+G38=0,"Indefinida",F38/(F38+G38)),""),"")</x:f>
      </x:c>
      <x:c r="J38" s="27" t="str">
        <x:f>IF(AND(B38&lt;&gt;"",D38&lt;&gt;"",COUNT(F38:H38)=3),IF(AND(G38&gt;=0,G38=INT(G38)),F38/(F38+H38),""),"")</x:f>
      </x:c>
      <x:c r="K38" s="27" t="str">
        <x:f>IF(AND(B38&lt;&gt;"",D38&lt;&gt;"",COUNT(F38:H38)=3),IF(AND(G38&gt;=0,G38=INT(G38)),2*F38/(2*F38+G38+H38),""),"")</x:f>
      </x:c>
      <x:c r="L38" s="22"/>
      <x:c r="Z38" t="str">
        <x:v>C4-A|C4-A-01; C4-A-02</x:v>
      </x:c>
      <x:c r="AA38" t="n">
        <x:v>2</x:v>
      </x:c>
      <x:c r="AD38"/>
      <x:c r="AE38"/>
      <x:c r="AF38"/>
      <x:c r="AG38"/>
      <x:c r="AH38"/>
      <x:c r="AI38"/>
      <x:c r="AJ38"/>
      <x:c r="AK38"/>
      <x:c r="AL38"/>
      <x:c r="AM38"/>
    </x:row>
    <x:row r="39" ht="36" customHeight="1">
      <x:c r="A39" s="14" t="str">
        <x:v>EXEC-031</x:v>
      </x:c>
      <x:c r="B39" s="19"/>
      <x:c r="C39" s="19"/>
      <x:c r="D39" s="24"/>
      <x:c r="E39" s="25"/>
      <x:c r="F39" s="26" t="str">
        <x:f>IF(OR(C39="",E39=""),"",IF(COUNTIF($Z$3:$Z$58,C39&amp;"|"&amp;E39)=0,"",VLOOKUP(C39&amp;"|"&amp;E39,$Z$3:$AA$58,2,FALSE)))</x:f>
      </x:c>
      <x:c r="G39" s="24"/>
      <x:c r="H39" s="26" t="str">
        <x:f>IF(ISNUMBER(F39),VLOOKUP(C39,$X$3:$Y$12,2,FALSE)-F39,"")</x:f>
      </x:c>
      <x:c r="I39" s="27" t="str">
        <x:f>IF(AND(B39&lt;&gt;"",D39&lt;&gt;"",COUNT(F39:H39)=3),IF(AND(G39&gt;=0,G39=INT(G39)),IF(F39+G39=0,"Indefinida",F39/(F39+G39)),""),"")</x:f>
      </x:c>
      <x:c r="J39" s="27" t="str">
        <x:f>IF(AND(B39&lt;&gt;"",D39&lt;&gt;"",COUNT(F39:H39)=3),IF(AND(G39&gt;=0,G39=INT(G39)),F39/(F39+H39),""),"")</x:f>
      </x:c>
      <x:c r="K39" s="27" t="str">
        <x:f>IF(AND(B39&lt;&gt;"",D39&lt;&gt;"",COUNT(F39:H39)=3),IF(AND(G39&gt;=0,G39=INT(G39)),2*F39/(2*F39+G39+H39),""),"")</x:f>
      </x:c>
      <x:c r="L39" s="22"/>
      <x:c r="Z39" t="str">
        <x:v>C4-B|—</x:v>
      </x:c>
      <x:c r="AA39" t="n">
        <x:v>0</x:v>
      </x:c>
      <x:c r="AD39"/>
      <x:c r="AE39"/>
      <x:c r="AF39"/>
      <x:c r="AG39"/>
      <x:c r="AH39"/>
      <x:c r="AI39"/>
      <x:c r="AJ39"/>
      <x:c r="AK39"/>
      <x:c r="AL39"/>
      <x:c r="AM39"/>
    </x:row>
    <x:row r="40" ht="36" customHeight="1">
      <x:c r="A40" s="14" t="str">
        <x:v>EXEC-032</x:v>
      </x:c>
      <x:c r="B40" s="19"/>
      <x:c r="C40" s="19"/>
      <x:c r="D40" s="24"/>
      <x:c r="E40" s="25"/>
      <x:c r="F40" s="26" t="str">
        <x:f>IF(OR(C40="",E40=""),"",IF(COUNTIF($Z$3:$Z$58,C40&amp;"|"&amp;E40)=0,"",VLOOKUP(C40&amp;"|"&amp;E40,$Z$3:$AA$58,2,FALSE)))</x:f>
      </x:c>
      <x:c r="G40" s="24"/>
      <x:c r="H40" s="26" t="str">
        <x:f>IF(ISNUMBER(F40),VLOOKUP(C40,$X$3:$Y$12,2,FALSE)-F40,"")</x:f>
      </x:c>
      <x:c r="I40" s="27" t="str">
        <x:f>IF(AND(B40&lt;&gt;"",D40&lt;&gt;"",COUNT(F40:H40)=3),IF(AND(G40&gt;=0,G40=INT(G40)),IF(F40+G40=0,"Indefinida",F40/(F40+G40)),""),"")</x:f>
      </x:c>
      <x:c r="J40" s="27" t="str">
        <x:f>IF(AND(B40&lt;&gt;"",D40&lt;&gt;"",COUNT(F40:H40)=3),IF(AND(G40&gt;=0,G40=INT(G40)),F40/(F40+H40),""),"")</x:f>
      </x:c>
      <x:c r="K40" s="27" t="str">
        <x:f>IF(AND(B40&lt;&gt;"",D40&lt;&gt;"",COUNT(F40:H40)=3),IF(AND(G40&gt;=0,G40=INT(G40)),2*F40/(2*F40+G40+H40),""),"")</x:f>
      </x:c>
      <x:c r="L40" s="22"/>
      <x:c r="Z40" t="str">
        <x:v>C4-B|C4-B-01</x:v>
      </x:c>
      <x:c r="AA40" t="n">
        <x:v>1</x:v>
      </x:c>
      <x:c r="AD40"/>
      <x:c r="AE40"/>
      <x:c r="AF40"/>
      <x:c r="AG40"/>
      <x:c r="AH40"/>
      <x:c r="AI40"/>
      <x:c r="AJ40"/>
      <x:c r="AK40"/>
      <x:c r="AL40"/>
      <x:c r="AM40"/>
    </x:row>
    <x:row r="41" ht="36" customHeight="1">
      <x:c r="A41" s="14" t="str">
        <x:v>EXEC-033</x:v>
      </x:c>
      <x:c r="B41" s="19"/>
      <x:c r="C41" s="19"/>
      <x:c r="D41" s="24"/>
      <x:c r="E41" s="25"/>
      <x:c r="F41" s="26" t="str">
        <x:f>IF(OR(C41="",E41=""),"",IF(COUNTIF($Z$3:$Z$58,C41&amp;"|"&amp;E41)=0,"",VLOOKUP(C41&amp;"|"&amp;E41,$Z$3:$AA$58,2,FALSE)))</x:f>
      </x:c>
      <x:c r="G41" s="24"/>
      <x:c r="H41" s="26" t="str">
        <x:f>IF(ISNUMBER(F41),VLOOKUP(C41,$X$3:$Y$12,2,FALSE)-F41,"")</x:f>
      </x:c>
      <x:c r="I41" s="27" t="str">
        <x:f>IF(AND(B41&lt;&gt;"",D41&lt;&gt;"",COUNT(F41:H41)=3),IF(AND(G41&gt;=0,G41=INT(G41)),IF(F41+G41=0,"Indefinida",F41/(F41+G41)),""),"")</x:f>
      </x:c>
      <x:c r="J41" s="27" t="str">
        <x:f>IF(AND(B41&lt;&gt;"",D41&lt;&gt;"",COUNT(F41:H41)=3),IF(AND(G41&gt;=0,G41=INT(G41)),F41/(F41+H41),""),"")</x:f>
      </x:c>
      <x:c r="K41" s="27" t="str">
        <x:f>IF(AND(B41&lt;&gt;"",D41&lt;&gt;"",COUNT(F41:H41)=3),IF(AND(G41&gt;=0,G41=INT(G41)),2*F41/(2*F41+G41+H41),""),"")</x:f>
      </x:c>
      <x:c r="L41" s="22"/>
      <x:c r="Z41" t="str">
        <x:v>C4-B|C4-B-02</x:v>
      </x:c>
      <x:c r="AA41" t="n">
        <x:v>1</x:v>
      </x:c>
      <x:c r="AD41"/>
      <x:c r="AE41"/>
      <x:c r="AF41"/>
      <x:c r="AG41"/>
      <x:c r="AH41"/>
      <x:c r="AI41"/>
      <x:c r="AJ41"/>
      <x:c r="AK41"/>
      <x:c r="AL41"/>
      <x:c r="AM41"/>
    </x:row>
    <x:row r="42" ht="36" customHeight="1">
      <x:c r="A42" s="14" t="str">
        <x:v>EXEC-034</x:v>
      </x:c>
      <x:c r="B42" s="19"/>
      <x:c r="C42" s="19"/>
      <x:c r="D42" s="24"/>
      <x:c r="E42" s="25"/>
      <x:c r="F42" s="26" t="str">
        <x:f>IF(OR(C42="",E42=""),"",IF(COUNTIF($Z$3:$Z$58,C42&amp;"|"&amp;E42)=0,"",VLOOKUP(C42&amp;"|"&amp;E42,$Z$3:$AA$58,2,FALSE)))</x:f>
      </x:c>
      <x:c r="G42" s="24"/>
      <x:c r="H42" s="26" t="str">
        <x:f>IF(ISNUMBER(F42),VLOOKUP(C42,$X$3:$Y$12,2,FALSE)-F42,"")</x:f>
      </x:c>
      <x:c r="I42" s="27" t="str">
        <x:f>IF(AND(B42&lt;&gt;"",D42&lt;&gt;"",COUNT(F42:H42)=3),IF(AND(G42&gt;=0,G42=INT(G42)),IF(F42+G42=0,"Indefinida",F42/(F42+G42)),""),"")</x:f>
      </x:c>
      <x:c r="J42" s="27" t="str">
        <x:f>IF(AND(B42&lt;&gt;"",D42&lt;&gt;"",COUNT(F42:H42)=3),IF(AND(G42&gt;=0,G42=INT(G42)),F42/(F42+H42),""),"")</x:f>
      </x:c>
      <x:c r="K42" s="27" t="str">
        <x:f>IF(AND(B42&lt;&gt;"",D42&lt;&gt;"",COUNT(F42:H42)=3),IF(AND(G42&gt;=0,G42=INT(G42)),2*F42/(2*F42+G42+H42),""),"")</x:f>
      </x:c>
      <x:c r="L42" s="22"/>
      <x:c r="Z42" t="str">
        <x:v>C4-B|C4-B-01; C4-B-02</x:v>
      </x:c>
      <x:c r="AA42" t="n">
        <x:v>2</x:v>
      </x:c>
      <x:c r="AD42"/>
      <x:c r="AE42"/>
      <x:c r="AF42"/>
      <x:c r="AG42"/>
      <x:c r="AH42"/>
      <x:c r="AI42"/>
      <x:c r="AJ42"/>
      <x:c r="AK42"/>
      <x:c r="AL42"/>
      <x:c r="AM42"/>
    </x:row>
    <x:row r="43" ht="36" customHeight="1">
      <x:c r="A43" s="14" t="str">
        <x:v>EXEC-035</x:v>
      </x:c>
      <x:c r="B43" s="19"/>
      <x:c r="C43" s="19"/>
      <x:c r="D43" s="24"/>
      <x:c r="E43" s="25"/>
      <x:c r="F43" s="26" t="str">
        <x:f>IF(OR(C43="",E43=""),"",IF(COUNTIF($Z$3:$Z$58,C43&amp;"|"&amp;E43)=0,"",VLOOKUP(C43&amp;"|"&amp;E43,$Z$3:$AA$58,2,FALSE)))</x:f>
      </x:c>
      <x:c r="G43" s="24"/>
      <x:c r="H43" s="26" t="str">
        <x:f>IF(ISNUMBER(F43),VLOOKUP(C43,$X$3:$Y$12,2,FALSE)-F43,"")</x:f>
      </x:c>
      <x:c r="I43" s="27" t="str">
        <x:f>IF(AND(B43&lt;&gt;"",D43&lt;&gt;"",COUNT(F43:H43)=3),IF(AND(G43&gt;=0,G43=INT(G43)),IF(F43+G43=0,"Indefinida",F43/(F43+G43)),""),"")</x:f>
      </x:c>
      <x:c r="J43" s="27" t="str">
        <x:f>IF(AND(B43&lt;&gt;"",D43&lt;&gt;"",COUNT(F43:H43)=3),IF(AND(G43&gt;=0,G43=INT(G43)),F43/(F43+H43),""),"")</x:f>
      </x:c>
      <x:c r="K43" s="27" t="str">
        <x:f>IF(AND(B43&lt;&gt;"",D43&lt;&gt;"",COUNT(F43:H43)=3),IF(AND(G43&gt;=0,G43=INT(G43)),2*F43/(2*F43+G43+H43),""),"")</x:f>
      </x:c>
      <x:c r="L43" s="22"/>
      <x:c r="Z43" t="str">
        <x:v>C5-A|—</x:v>
      </x:c>
      <x:c r="AA43" t="n">
        <x:v>0</x:v>
      </x:c>
      <x:c r="AD43"/>
      <x:c r="AE43"/>
      <x:c r="AF43"/>
      <x:c r="AG43"/>
      <x:c r="AH43"/>
      <x:c r="AI43"/>
      <x:c r="AJ43"/>
      <x:c r="AK43"/>
      <x:c r="AL43"/>
      <x:c r="AM43"/>
    </x:row>
    <x:row r="44" ht="36" customHeight="1">
      <x:c r="A44" s="14" t="str">
        <x:v>EXEC-036</x:v>
      </x:c>
      <x:c r="B44" s="19"/>
      <x:c r="C44" s="19"/>
      <x:c r="D44" s="24"/>
      <x:c r="E44" s="25"/>
      <x:c r="F44" s="26" t="str">
        <x:f>IF(OR(C44="",E44=""),"",IF(COUNTIF($Z$3:$Z$58,C44&amp;"|"&amp;E44)=0,"",VLOOKUP(C44&amp;"|"&amp;E44,$Z$3:$AA$58,2,FALSE)))</x:f>
      </x:c>
      <x:c r="G44" s="24"/>
      <x:c r="H44" s="26" t="str">
        <x:f>IF(ISNUMBER(F44),VLOOKUP(C44,$X$3:$Y$12,2,FALSE)-F44,"")</x:f>
      </x:c>
      <x:c r="I44" s="27" t="str">
        <x:f>IF(AND(B44&lt;&gt;"",D44&lt;&gt;"",COUNT(F44:H44)=3),IF(AND(G44&gt;=0,G44=INT(G44)),IF(F44+G44=0,"Indefinida",F44/(F44+G44)),""),"")</x:f>
      </x:c>
      <x:c r="J44" s="27" t="str">
        <x:f>IF(AND(B44&lt;&gt;"",D44&lt;&gt;"",COUNT(F44:H44)=3),IF(AND(G44&gt;=0,G44=INT(G44)),F44/(F44+H44),""),"")</x:f>
      </x:c>
      <x:c r="K44" s="27" t="str">
        <x:f>IF(AND(B44&lt;&gt;"",D44&lt;&gt;"",COUNT(F44:H44)=3),IF(AND(G44&gt;=0,G44=INT(G44)),2*F44/(2*F44+G44+H44),""),"")</x:f>
      </x:c>
      <x:c r="L44" s="22"/>
      <x:c r="Z44" t="str">
        <x:v>C5-A|C5-A-01</x:v>
      </x:c>
      <x:c r="AA44" t="n">
        <x:v>1</x:v>
      </x:c>
      <x:c r="AD44"/>
      <x:c r="AE44"/>
      <x:c r="AF44"/>
      <x:c r="AG44"/>
      <x:c r="AH44"/>
      <x:c r="AI44"/>
      <x:c r="AJ44"/>
      <x:c r="AK44"/>
      <x:c r="AL44"/>
      <x:c r="AM44"/>
    </x:row>
    <x:row r="45" ht="36" customHeight="1">
      <x:c r="A45" s="14" t="str">
        <x:v>EXEC-037</x:v>
      </x:c>
      <x:c r="B45" s="19"/>
      <x:c r="C45" s="19"/>
      <x:c r="D45" s="24"/>
      <x:c r="E45" s="25"/>
      <x:c r="F45" s="26" t="str">
        <x:f>IF(OR(C45="",E45=""),"",IF(COUNTIF($Z$3:$Z$58,C45&amp;"|"&amp;E45)=0,"",VLOOKUP(C45&amp;"|"&amp;E45,$Z$3:$AA$58,2,FALSE)))</x:f>
      </x:c>
      <x:c r="G45" s="24"/>
      <x:c r="H45" s="26" t="str">
        <x:f>IF(ISNUMBER(F45),VLOOKUP(C45,$X$3:$Y$12,2,FALSE)-F45,"")</x:f>
      </x:c>
      <x:c r="I45" s="27" t="str">
        <x:f>IF(AND(B45&lt;&gt;"",D45&lt;&gt;"",COUNT(F45:H45)=3),IF(AND(G45&gt;=0,G45=INT(G45)),IF(F45+G45=0,"Indefinida",F45/(F45+G45)),""),"")</x:f>
      </x:c>
      <x:c r="J45" s="27" t="str">
        <x:f>IF(AND(B45&lt;&gt;"",D45&lt;&gt;"",COUNT(F45:H45)=3),IF(AND(G45&gt;=0,G45=INT(G45)),F45/(F45+H45),""),"")</x:f>
      </x:c>
      <x:c r="K45" s="27" t="str">
        <x:f>IF(AND(B45&lt;&gt;"",D45&lt;&gt;"",COUNT(F45:H45)=3),IF(AND(G45&gt;=0,G45=INT(G45)),2*F45/(2*F45+G45+H45),""),"")</x:f>
      </x:c>
      <x:c r="L45" s="22"/>
      <x:c r="Z45" t="str">
        <x:v>C5-A|C5-A-02</x:v>
      </x:c>
      <x:c r="AA45" t="n">
        <x:v>1</x:v>
      </x:c>
    </x:row>
    <x:row r="46" ht="36" customHeight="1">
      <x:c r="A46" s="14" t="str">
        <x:v>EXEC-038</x:v>
      </x:c>
      <x:c r="B46" s="19"/>
      <x:c r="C46" s="19"/>
      <x:c r="D46" s="24"/>
      <x:c r="E46" s="25"/>
      <x:c r="F46" s="26" t="str">
        <x:f>IF(OR(C46="",E46=""),"",IF(COUNTIF($Z$3:$Z$58,C46&amp;"|"&amp;E46)=0,"",VLOOKUP(C46&amp;"|"&amp;E46,$Z$3:$AA$58,2,FALSE)))</x:f>
      </x:c>
      <x:c r="G46" s="24"/>
      <x:c r="H46" s="26" t="str">
        <x:f>IF(ISNUMBER(F46),VLOOKUP(C46,$X$3:$Y$12,2,FALSE)-F46,"")</x:f>
      </x:c>
      <x:c r="I46" s="27" t="str">
        <x:f>IF(AND(B46&lt;&gt;"",D46&lt;&gt;"",COUNT(F46:H46)=3),IF(AND(G46&gt;=0,G46=INT(G46)),IF(F46+G46=0,"Indefinida",F46/(F46+G46)),""),"")</x:f>
      </x:c>
      <x:c r="J46" s="27" t="str">
        <x:f>IF(AND(B46&lt;&gt;"",D46&lt;&gt;"",COUNT(F46:H46)=3),IF(AND(G46&gt;=0,G46=INT(G46)),F46/(F46+H46),""),"")</x:f>
      </x:c>
      <x:c r="K46" s="27" t="str">
        <x:f>IF(AND(B46&lt;&gt;"",D46&lt;&gt;"",COUNT(F46:H46)=3),IF(AND(G46&gt;=0,G46=INT(G46)),2*F46/(2*F46+G46+H46),""),"")</x:f>
      </x:c>
      <x:c r="L46" s="22"/>
      <x:c r="Z46" t="str">
        <x:v>C5-A|C5-A-01; C5-A-02</x:v>
      </x:c>
      <x:c r="AA46" t="n">
        <x:v>2</x:v>
      </x:c>
    </x:row>
    <x:row r="47" ht="36" customHeight="1">
      <x:c r="A47" s="14" t="str">
        <x:v>EXEC-039</x:v>
      </x:c>
      <x:c r="B47" s="19"/>
      <x:c r="C47" s="19"/>
      <x:c r="D47" s="24"/>
      <x:c r="E47" s="25"/>
      <x:c r="F47" s="26" t="str">
        <x:f>IF(OR(C47="",E47=""),"",IF(COUNTIF($Z$3:$Z$58,C47&amp;"|"&amp;E47)=0,"",VLOOKUP(C47&amp;"|"&amp;E47,$Z$3:$AA$58,2,FALSE)))</x:f>
      </x:c>
      <x:c r="G47" s="24"/>
      <x:c r="H47" s="26" t="str">
        <x:f>IF(ISNUMBER(F47),VLOOKUP(C47,$X$3:$Y$12,2,FALSE)-F47,"")</x:f>
      </x:c>
      <x:c r="I47" s="27" t="str">
        <x:f>IF(AND(B47&lt;&gt;"",D47&lt;&gt;"",COUNT(F47:H47)=3),IF(AND(G47&gt;=0,G47=INT(G47)),IF(F47+G47=0,"Indefinida",F47/(F47+G47)),""),"")</x:f>
      </x:c>
      <x:c r="J47" s="27" t="str">
        <x:f>IF(AND(B47&lt;&gt;"",D47&lt;&gt;"",COUNT(F47:H47)=3),IF(AND(G47&gt;=0,G47=INT(G47)),F47/(F47+H47),""),"")</x:f>
      </x:c>
      <x:c r="K47" s="27" t="str">
        <x:f>IF(AND(B47&lt;&gt;"",D47&lt;&gt;"",COUNT(F47:H47)=3),IF(AND(G47&gt;=0,G47=INT(G47)),2*F47/(2*F47+G47+H47),""),"")</x:f>
      </x:c>
      <x:c r="L47" s="22"/>
      <x:c r="Z47" t="str">
        <x:v>C5-B|—</x:v>
      </x:c>
      <x:c r="AA47" t="n">
        <x:v>0</x:v>
      </x:c>
    </x:row>
    <x:row r="48" ht="36" customHeight="1">
      <x:c r="A48" s="14" t="str">
        <x:v>EXEC-040</x:v>
      </x:c>
      <x:c r="B48" s="19"/>
      <x:c r="C48" s="19"/>
      <x:c r="D48" s="24"/>
      <x:c r="E48" s="25"/>
      <x:c r="F48" s="26" t="str">
        <x:f>IF(OR(C48="",E48=""),"",IF(COUNTIF($Z$3:$Z$58,C48&amp;"|"&amp;E48)=0,"",VLOOKUP(C48&amp;"|"&amp;E48,$Z$3:$AA$58,2,FALSE)))</x:f>
      </x:c>
      <x:c r="G48" s="24"/>
      <x:c r="H48" s="26" t="str">
        <x:f>IF(ISNUMBER(F48),VLOOKUP(C48,$X$3:$Y$12,2,FALSE)-F48,"")</x:f>
      </x:c>
      <x:c r="I48" s="27" t="str">
        <x:f>IF(AND(B48&lt;&gt;"",D48&lt;&gt;"",COUNT(F48:H48)=3),IF(AND(G48&gt;=0,G48=INT(G48)),IF(F48+G48=0,"Indefinida",F48/(F48+G48)),""),"")</x:f>
      </x:c>
      <x:c r="J48" s="27" t="str">
        <x:f>IF(AND(B48&lt;&gt;"",D48&lt;&gt;"",COUNT(F48:H48)=3),IF(AND(G48&gt;=0,G48=INT(G48)),F48/(F48+H48),""),"")</x:f>
      </x:c>
      <x:c r="K48" s="27" t="str">
        <x:f>IF(AND(B48&lt;&gt;"",D48&lt;&gt;"",COUNT(F48:H48)=3),IF(AND(G48&gt;=0,G48=INT(G48)),2*F48/(2*F48+G48+H48),""),"")</x:f>
      </x:c>
      <x:c r="L48" s="22"/>
      <x:c r="Z48" t="str">
        <x:v>C5-B|C5-B-01</x:v>
      </x:c>
      <x:c r="AA48" t="n">
        <x:v>1</x:v>
      </x:c>
    </x:row>
    <x:row r="49" ht="36" customHeight="1">
      <x:c r="A49" s="14" t="str">
        <x:v>EXEC-041</x:v>
      </x:c>
      <x:c r="B49" s="19"/>
      <x:c r="C49" s="19"/>
      <x:c r="D49" s="24"/>
      <x:c r="E49" s="25"/>
      <x:c r="F49" s="26" t="str">
        <x:f>IF(OR(C49="",E49=""),"",IF(COUNTIF($Z$3:$Z$58,C49&amp;"|"&amp;E49)=0,"",VLOOKUP(C49&amp;"|"&amp;E49,$Z$3:$AA$58,2,FALSE)))</x:f>
      </x:c>
      <x:c r="G49" s="24"/>
      <x:c r="H49" s="26" t="str">
        <x:f>IF(ISNUMBER(F49),VLOOKUP(C49,$X$3:$Y$12,2,FALSE)-F49,"")</x:f>
      </x:c>
      <x:c r="I49" s="27" t="str">
        <x:f>IF(AND(B49&lt;&gt;"",D49&lt;&gt;"",COUNT(F49:H49)=3),IF(AND(G49&gt;=0,G49=INT(G49)),IF(F49+G49=0,"Indefinida",F49/(F49+G49)),""),"")</x:f>
      </x:c>
      <x:c r="J49" s="27" t="str">
        <x:f>IF(AND(B49&lt;&gt;"",D49&lt;&gt;"",COUNT(F49:H49)=3),IF(AND(G49&gt;=0,G49=INT(G49)),F49/(F49+H49),""),"")</x:f>
      </x:c>
      <x:c r="K49" s="27" t="str">
        <x:f>IF(AND(B49&lt;&gt;"",D49&lt;&gt;"",COUNT(F49:H49)=3),IF(AND(G49&gt;=0,G49=INT(G49)),2*F49/(2*F49+G49+H49),""),"")</x:f>
      </x:c>
      <x:c r="L49" s="22"/>
      <x:c r="Z49" t="str">
        <x:v>C5-B|C5-B-02</x:v>
      </x:c>
      <x:c r="AA49" t="n">
        <x:v>1</x:v>
      </x:c>
    </x:row>
    <x:row r="50" ht="36" customHeight="1">
      <x:c r="A50" s="14" t="str">
        <x:v>EXEC-042</x:v>
      </x:c>
      <x:c r="B50" s="19"/>
      <x:c r="C50" s="19"/>
      <x:c r="D50" s="24"/>
      <x:c r="E50" s="25"/>
      <x:c r="F50" s="26" t="str">
        <x:f>IF(OR(C50="",E50=""),"",IF(COUNTIF($Z$3:$Z$58,C50&amp;"|"&amp;E50)=0,"",VLOOKUP(C50&amp;"|"&amp;E50,$Z$3:$AA$58,2,FALSE)))</x:f>
      </x:c>
      <x:c r="G50" s="24"/>
      <x:c r="H50" s="26" t="str">
        <x:f>IF(ISNUMBER(F50),VLOOKUP(C50,$X$3:$Y$12,2,FALSE)-F50,"")</x:f>
      </x:c>
      <x:c r="I50" s="27" t="str">
        <x:f>IF(AND(B50&lt;&gt;"",D50&lt;&gt;"",COUNT(F50:H50)=3),IF(AND(G50&gt;=0,G50=INT(G50)),IF(F50+G50=0,"Indefinida",F50/(F50+G50)),""),"")</x:f>
      </x:c>
      <x:c r="J50" s="27" t="str">
        <x:f>IF(AND(B50&lt;&gt;"",D50&lt;&gt;"",COUNT(F50:H50)=3),IF(AND(G50&gt;=0,G50=INT(G50)),F50/(F50+H50),""),"")</x:f>
      </x:c>
      <x:c r="K50" s="27" t="str">
        <x:f>IF(AND(B50&lt;&gt;"",D50&lt;&gt;"",COUNT(F50:H50)=3),IF(AND(G50&gt;=0,G50=INT(G50)),2*F50/(2*F50+G50+H50),""),"")</x:f>
      </x:c>
      <x:c r="L50" s="22"/>
      <x:c r="Z50" t="str">
        <x:v>C5-B|C5-B-01; C5-B-02</x:v>
      </x:c>
      <x:c r="AA50" t="n">
        <x:v>2</x:v>
      </x:c>
    </x:row>
    <x:row r="51" ht="36" customHeight="1">
      <x:c r="A51" s="14" t="str">
        <x:v>EXEC-043</x:v>
      </x:c>
      <x:c r="B51" s="19"/>
      <x:c r="C51" s="19"/>
      <x:c r="D51" s="24"/>
      <x:c r="E51" s="25"/>
      <x:c r="F51" s="26" t="str">
        <x:f>IF(OR(C51="",E51=""),"",IF(COUNTIF($Z$3:$Z$58,C51&amp;"|"&amp;E51)=0,"",VLOOKUP(C51&amp;"|"&amp;E51,$Z$3:$AA$58,2,FALSE)))</x:f>
      </x:c>
      <x:c r="G51" s="24"/>
      <x:c r="H51" s="26" t="str">
        <x:f>IF(ISNUMBER(F51),VLOOKUP(C51,$X$3:$Y$12,2,FALSE)-F51,"")</x:f>
      </x:c>
      <x:c r="I51" s="27" t="str">
        <x:f>IF(AND(B51&lt;&gt;"",D51&lt;&gt;"",COUNT(F51:H51)=3),IF(AND(G51&gt;=0,G51=INT(G51)),IF(F51+G51=0,"Indefinida",F51/(F51+G51)),""),"")</x:f>
      </x:c>
      <x:c r="J51" s="27" t="str">
        <x:f>IF(AND(B51&lt;&gt;"",D51&lt;&gt;"",COUNT(F51:H51)=3),IF(AND(G51&gt;=0,G51=INT(G51)),F51/(F51+H51),""),"")</x:f>
      </x:c>
      <x:c r="K51" s="27" t="str">
        <x:f>IF(AND(B51&lt;&gt;"",D51&lt;&gt;"",COUNT(F51:H51)=3),IF(AND(G51&gt;=0,G51=INT(G51)),2*F51/(2*F51+G51+H51),""),"")</x:f>
      </x:c>
      <x:c r="L51" s="22"/>
      <x:c r="Z51" t="str">
        <x:v>C3-A|C3-A-03</x:v>
      </x:c>
      <x:c r="AA51" t="n">
        <x:v>1</x:v>
      </x:c>
    </x:row>
    <x:row r="52" ht="36" customHeight="1">
      <x:c r="A52" s="14" t="str">
        <x:v>EXEC-044</x:v>
      </x:c>
      <x:c r="B52" s="19"/>
      <x:c r="C52" s="19"/>
      <x:c r="D52" s="24"/>
      <x:c r="E52" s="25"/>
      <x:c r="F52" s="26" t="str">
        <x:f>IF(OR(C52="",E52=""),"",IF(COUNTIF($Z$3:$Z$58,C52&amp;"|"&amp;E52)=0,"",VLOOKUP(C52&amp;"|"&amp;E52,$Z$3:$AA$58,2,FALSE)))</x:f>
      </x:c>
      <x:c r="G52" s="24"/>
      <x:c r="H52" s="26" t="str">
        <x:f>IF(ISNUMBER(F52),VLOOKUP(C52,$X$3:$Y$12,2,FALSE)-F52,"")</x:f>
      </x:c>
      <x:c r="I52" s="27" t="str">
        <x:f>IF(AND(B52&lt;&gt;"",D52&lt;&gt;"",COUNT(F52:H52)=3),IF(AND(G52&gt;=0,G52=INT(G52)),IF(F52+G52=0,"Indefinida",F52/(F52+G52)),""),"")</x:f>
      </x:c>
      <x:c r="J52" s="27" t="str">
        <x:f>IF(AND(B52&lt;&gt;"",D52&lt;&gt;"",COUNT(F52:H52)=3),IF(AND(G52&gt;=0,G52=INT(G52)),F52/(F52+H52),""),"")</x:f>
      </x:c>
      <x:c r="K52" s="27" t="str">
        <x:f>IF(AND(B52&lt;&gt;"",D52&lt;&gt;"",COUNT(F52:H52)=3),IF(AND(G52&gt;=0,G52=INT(G52)),2*F52/(2*F52+G52+H52),""),"")</x:f>
      </x:c>
      <x:c r="L52" s="22"/>
      <x:c r="Z52" t="str">
        <x:v>C3-A|C3-A-01; C3-A-03</x:v>
      </x:c>
      <x:c r="AA52" t="n">
        <x:v>2</x:v>
      </x:c>
    </x:row>
    <x:row r="53" ht="36" customHeight="1">
      <x:c r="A53" s="14" t="str">
        <x:v>EXEC-045</x:v>
      </x:c>
      <x:c r="B53" s="19"/>
      <x:c r="C53" s="19"/>
      <x:c r="D53" s="24"/>
      <x:c r="E53" s="25"/>
      <x:c r="F53" s="26" t="str">
        <x:f>IF(OR(C53="",E53=""),"",IF(COUNTIF($Z$3:$Z$58,C53&amp;"|"&amp;E53)=0,"",VLOOKUP(C53&amp;"|"&amp;E53,$Z$3:$AA$58,2,FALSE)))</x:f>
      </x:c>
      <x:c r="G53" s="24"/>
      <x:c r="H53" s="26" t="str">
        <x:f>IF(ISNUMBER(F53),VLOOKUP(C53,$X$3:$Y$12,2,FALSE)-F53,"")</x:f>
      </x:c>
      <x:c r="I53" s="27" t="str">
        <x:f>IF(AND(B53&lt;&gt;"",D53&lt;&gt;"",COUNT(F53:H53)=3),IF(AND(G53&gt;=0,G53=INT(G53)),IF(F53+G53=0,"Indefinida",F53/(F53+G53)),""),"")</x:f>
      </x:c>
      <x:c r="J53" s="27" t="str">
        <x:f>IF(AND(B53&lt;&gt;"",D53&lt;&gt;"",COUNT(F53:H53)=3),IF(AND(G53&gt;=0,G53=INT(G53)),F53/(F53+H53),""),"")</x:f>
      </x:c>
      <x:c r="K53" s="27" t="str">
        <x:f>IF(AND(B53&lt;&gt;"",D53&lt;&gt;"",COUNT(F53:H53)=3),IF(AND(G53&gt;=0,G53=INT(G53)),2*F53/(2*F53+G53+H53),""),"")</x:f>
      </x:c>
      <x:c r="L53" s="22"/>
      <x:c r="Z53" t="str">
        <x:v>C3-A|C3-A-02; C3-A-03</x:v>
      </x:c>
      <x:c r="AA53" t="n">
        <x:v>2</x:v>
      </x:c>
    </x:row>
    <x:row r="54" ht="36" customHeight="1">
      <x:c r="A54" s="14" t="str">
        <x:v>EXEC-046</x:v>
      </x:c>
      <x:c r="B54" s="19"/>
      <x:c r="C54" s="19"/>
      <x:c r="D54" s="24"/>
      <x:c r="E54" s="25"/>
      <x:c r="F54" s="26" t="str">
        <x:f>IF(OR(C54="",E54=""),"",IF(COUNTIF($Z$3:$Z$58,C54&amp;"|"&amp;E54)=0,"",VLOOKUP(C54&amp;"|"&amp;E54,$Z$3:$AA$58,2,FALSE)))</x:f>
      </x:c>
      <x:c r="G54" s="24"/>
      <x:c r="H54" s="26" t="str">
        <x:f>IF(ISNUMBER(F54),VLOOKUP(C54,$X$3:$Y$12,2,FALSE)-F54,"")</x:f>
      </x:c>
      <x:c r="I54" s="27" t="str">
        <x:f>IF(AND(B54&lt;&gt;"",D54&lt;&gt;"",COUNT(F54:H54)=3),IF(AND(G54&gt;=0,G54=INT(G54)),IF(F54+G54=0,"Indefinida",F54/(F54+G54)),""),"")</x:f>
      </x:c>
      <x:c r="J54" s="27" t="str">
        <x:f>IF(AND(B54&lt;&gt;"",D54&lt;&gt;"",COUNT(F54:H54)=3),IF(AND(G54&gt;=0,G54=INT(G54)),F54/(F54+H54),""),"")</x:f>
      </x:c>
      <x:c r="K54" s="27" t="str">
        <x:f>IF(AND(B54&lt;&gt;"",D54&lt;&gt;"",COUNT(F54:H54)=3),IF(AND(G54&gt;=0,G54=INT(G54)),2*F54/(2*F54+G54+H54),""),"")</x:f>
      </x:c>
      <x:c r="L54" s="22"/>
      <x:c r="Z54" t="str">
        <x:v>C3-A|C3-A-01; C3-A-02; C3-A-03</x:v>
      </x:c>
      <x:c r="AA54" t="n">
        <x:v>3</x:v>
      </x:c>
    </x:row>
    <x:row r="55" ht="36" customHeight="1">
      <x:c r="A55" s="14" t="str">
        <x:v>EXEC-047</x:v>
      </x:c>
      <x:c r="B55" s="19"/>
      <x:c r="C55" s="19"/>
      <x:c r="D55" s="24"/>
      <x:c r="E55" s="25"/>
      <x:c r="F55" s="26" t="str">
        <x:f>IF(OR(C55="",E55=""),"",IF(COUNTIF($Z$3:$Z$58,C55&amp;"|"&amp;E55)=0,"",VLOOKUP(C55&amp;"|"&amp;E55,$Z$3:$AA$58,2,FALSE)))</x:f>
      </x:c>
      <x:c r="G55" s="24"/>
      <x:c r="H55" s="26" t="str">
        <x:f>IF(ISNUMBER(F55),VLOOKUP(C55,$X$3:$Y$12,2,FALSE)-F55,"")</x:f>
      </x:c>
      <x:c r="I55" s="27" t="str">
        <x:f>IF(AND(B55&lt;&gt;"",D55&lt;&gt;"",COUNT(F55:H55)=3),IF(AND(G55&gt;=0,G55=INT(G55)),IF(F55+G55=0,"Indefinida",F55/(F55+G55)),""),"")</x:f>
      </x:c>
      <x:c r="J55" s="27" t="str">
        <x:f>IF(AND(B55&lt;&gt;"",D55&lt;&gt;"",COUNT(F55:H55)=3),IF(AND(G55&gt;=0,G55=INT(G55)),F55/(F55+H55),""),"")</x:f>
      </x:c>
      <x:c r="K55" s="27" t="str">
        <x:f>IF(AND(B55&lt;&gt;"",D55&lt;&gt;"",COUNT(F55:H55)=3),IF(AND(G55&gt;=0,G55=INT(G55)),2*F55/(2*F55+G55+H55),""),"")</x:f>
      </x:c>
      <x:c r="L55" s="22"/>
      <x:c r="Z55" t="str">
        <x:v>C5-A|C5-A-03</x:v>
      </x:c>
      <x:c r="AA55" t="n">
        <x:v>1</x:v>
      </x:c>
    </x:row>
    <x:row r="56" ht="36" customHeight="1">
      <x:c r="A56" s="14" t="str">
        <x:v>EXEC-048</x:v>
      </x:c>
      <x:c r="B56" s="19"/>
      <x:c r="C56" s="19"/>
      <x:c r="D56" s="24"/>
      <x:c r="E56" s="25"/>
      <x:c r="F56" s="26" t="str">
        <x:f>IF(OR(C56="",E56=""),"",IF(COUNTIF($Z$3:$Z$58,C56&amp;"|"&amp;E56)=0,"",VLOOKUP(C56&amp;"|"&amp;E56,$Z$3:$AA$58,2,FALSE)))</x:f>
      </x:c>
      <x:c r="G56" s="24"/>
      <x:c r="H56" s="26" t="str">
        <x:f>IF(ISNUMBER(F56),VLOOKUP(C56,$X$3:$Y$12,2,FALSE)-F56,"")</x:f>
      </x:c>
      <x:c r="I56" s="27" t="str">
        <x:f>IF(AND(B56&lt;&gt;"",D56&lt;&gt;"",COUNT(F56:H56)=3),IF(AND(G56&gt;=0,G56=INT(G56)),IF(F56+G56=0,"Indefinida",F56/(F56+G56)),""),"")</x:f>
      </x:c>
      <x:c r="J56" s="27" t="str">
        <x:f>IF(AND(B56&lt;&gt;"",D56&lt;&gt;"",COUNT(F56:H56)=3),IF(AND(G56&gt;=0,G56=INT(G56)),F56/(F56+H56),""),"")</x:f>
      </x:c>
      <x:c r="K56" s="27" t="str">
        <x:f>IF(AND(B56&lt;&gt;"",D56&lt;&gt;"",COUNT(F56:H56)=3),IF(AND(G56&gt;=0,G56=INT(G56)),2*F56/(2*F56+G56+H56),""),"")</x:f>
      </x:c>
      <x:c r="L56" s="22"/>
      <x:c r="Z56" t="str">
        <x:v>C5-A|C5-A-01; C5-A-03</x:v>
      </x:c>
      <x:c r="AA56" t="n">
        <x:v>2</x:v>
      </x:c>
    </x:row>
    <x:row r="57" ht="36" customHeight="1">
      <x:c r="A57" s="14" t="str">
        <x:v>EXEC-049</x:v>
      </x:c>
      <x:c r="B57" s="19"/>
      <x:c r="C57" s="19"/>
      <x:c r="D57" s="24"/>
      <x:c r="E57" s="25"/>
      <x:c r="F57" s="26" t="str">
        <x:f>IF(OR(C57="",E57=""),"",IF(COUNTIF($Z$3:$Z$58,C57&amp;"|"&amp;E57)=0,"",VLOOKUP(C57&amp;"|"&amp;E57,$Z$3:$AA$58,2,FALSE)))</x:f>
      </x:c>
      <x:c r="G57" s="24"/>
      <x:c r="H57" s="26" t="str">
        <x:f>IF(ISNUMBER(F57),VLOOKUP(C57,$X$3:$Y$12,2,FALSE)-F57,"")</x:f>
      </x:c>
      <x:c r="I57" s="27" t="str">
        <x:f>IF(AND(B57&lt;&gt;"",D57&lt;&gt;"",COUNT(F57:H57)=3),IF(AND(G57&gt;=0,G57=INT(G57)),IF(F57+G57=0,"Indefinida",F57/(F57+G57)),""),"")</x:f>
      </x:c>
      <x:c r="J57" s="27" t="str">
        <x:f>IF(AND(B57&lt;&gt;"",D57&lt;&gt;"",COUNT(F57:H57)=3),IF(AND(G57&gt;=0,G57=INT(G57)),F57/(F57+H57),""),"")</x:f>
      </x:c>
      <x:c r="K57" s="27" t="str">
        <x:f>IF(AND(B57&lt;&gt;"",D57&lt;&gt;"",COUNT(F57:H57)=3),IF(AND(G57&gt;=0,G57=INT(G57)),2*F57/(2*F57+G57+H57),""),"")</x:f>
      </x:c>
      <x:c r="L57" s="22"/>
      <x:c r="Z57" t="str">
        <x:v>C5-A|C5-A-02; C5-A-03</x:v>
      </x:c>
      <x:c r="AA57" t="n">
        <x:v>2</x:v>
      </x:c>
    </x:row>
    <x:row r="58" ht="36" customHeight="1">
      <x:c r="A58" s="14" t="str">
        <x:v>EXEC-050</x:v>
      </x:c>
      <x:c r="B58" s="19"/>
      <x:c r="C58" s="19"/>
      <x:c r="D58" s="24"/>
      <x:c r="E58" s="25"/>
      <x:c r="F58" s="26" t="str">
        <x:f>IF(OR(C58="",E58=""),"",IF(COUNTIF($Z$3:$Z$58,C58&amp;"|"&amp;E58)=0,"",VLOOKUP(C58&amp;"|"&amp;E58,$Z$3:$AA$58,2,FALSE)))</x:f>
      </x:c>
      <x:c r="G58" s="24"/>
      <x:c r="H58" s="26" t="str">
        <x:f>IF(ISNUMBER(F58),VLOOKUP(C58,$X$3:$Y$12,2,FALSE)-F58,"")</x:f>
      </x:c>
      <x:c r="I58" s="27" t="str">
        <x:f>IF(AND(B58&lt;&gt;"",D58&lt;&gt;"",COUNT(F58:H58)=3),IF(AND(G58&gt;=0,G58=INT(G58)),IF(F58+G58=0,"Indefinida",F58/(F58+G58)),""),"")</x:f>
      </x:c>
      <x:c r="J58" s="27" t="str">
        <x:f>IF(AND(B58&lt;&gt;"",D58&lt;&gt;"",COUNT(F58:H58)=3),IF(AND(G58&gt;=0,G58=INT(G58)),F58/(F58+H58),""),"")</x:f>
      </x:c>
      <x:c r="K58" s="27" t="str">
        <x:f>IF(AND(B58&lt;&gt;"",D58&lt;&gt;"",COUNT(F58:H58)=3),IF(AND(G58&gt;=0,G58=INT(G58)),2*F58/(2*F58+G58+H58),""),"")</x:f>
      </x:c>
      <x:c r="L58" s="22"/>
      <x:c r="Z58" t="str">
        <x:v>C5-A|C5-A-01; C5-A-02; C5-A-03</x:v>
      </x:c>
      <x:c r="AA58" t="n">
        <x:v>3</x:v>
      </x:c>
    </x:row>
    <x:row r="59" ht="36" customHeight="1">
      <x:c r="A59" s="14" t="str">
        <x:v>EXEC-051</x:v>
      </x:c>
      <x:c r="B59" s="19"/>
      <x:c r="C59" s="19"/>
      <x:c r="D59" s="24"/>
      <x:c r="E59" s="25"/>
      <x:c r="F59" s="26" t="str">
        <x:f>IF(OR(C59="",E59=""),"",IF(COUNTIF($Z$3:$Z$58,C59&amp;"|"&amp;E59)=0,"",VLOOKUP(C59&amp;"|"&amp;E59,$Z$3:$AA$58,2,FALSE)))</x:f>
      </x:c>
      <x:c r="G59" s="24"/>
      <x:c r="H59" s="26" t="str">
        <x:f>IF(ISNUMBER(F59),VLOOKUP(C59,$X$3:$Y$12,2,FALSE)-F59,"")</x:f>
      </x:c>
      <x:c r="I59" s="27" t="str">
        <x:f>IF(AND(B59&lt;&gt;"",D59&lt;&gt;"",COUNT(F59:H59)=3),IF(AND(G59&gt;=0,G59=INT(G59)),IF(F59+G59=0,"Indefinida",F59/(F59+G59)),""),"")</x:f>
      </x:c>
      <x:c r="J59" s="27" t="str">
        <x:f>IF(AND(B59&lt;&gt;"",D59&lt;&gt;"",COUNT(F59:H59)=3),IF(AND(G59&gt;=0,G59=INT(G59)),F59/(F59+H59),""),"")</x:f>
      </x:c>
      <x:c r="K59" s="27" t="str">
        <x:f>IF(AND(B59&lt;&gt;"",D59&lt;&gt;"",COUNT(F59:H59)=3),IF(AND(G59&gt;=0,G59=INT(G59)),2*F59/(2*F59+G59+H59),""),"")</x:f>
      </x:c>
      <x:c r="L59" s="22"/>
    </x:row>
    <x:row r="60" ht="36" customHeight="1">
      <x:c r="A60" s="14" t="str">
        <x:v>EXEC-052</x:v>
      </x:c>
      <x:c r="B60" s="19"/>
      <x:c r="C60" s="19"/>
      <x:c r="D60" s="24"/>
      <x:c r="E60" s="25"/>
      <x:c r="F60" s="26" t="str">
        <x:f>IF(OR(C60="",E60=""),"",IF(COUNTIF($Z$3:$Z$58,C60&amp;"|"&amp;E60)=0,"",VLOOKUP(C60&amp;"|"&amp;E60,$Z$3:$AA$58,2,FALSE)))</x:f>
      </x:c>
      <x:c r="G60" s="24"/>
      <x:c r="H60" s="26" t="str">
        <x:f>IF(ISNUMBER(F60),VLOOKUP(C60,$X$3:$Y$12,2,FALSE)-F60,"")</x:f>
      </x:c>
      <x:c r="I60" s="27" t="str">
        <x:f>IF(AND(B60&lt;&gt;"",D60&lt;&gt;"",COUNT(F60:H60)=3),IF(AND(G60&gt;=0,G60=INT(G60)),IF(F60+G60=0,"Indefinida",F60/(F60+G60)),""),"")</x:f>
      </x:c>
      <x:c r="J60" s="27" t="str">
        <x:f>IF(AND(B60&lt;&gt;"",D60&lt;&gt;"",COUNT(F60:H60)=3),IF(AND(G60&gt;=0,G60=INT(G60)),F60/(F60+H60),""),"")</x:f>
      </x:c>
      <x:c r="K60" s="27" t="str">
        <x:f>IF(AND(B60&lt;&gt;"",D60&lt;&gt;"",COUNT(F60:H60)=3),IF(AND(G60&gt;=0,G60=INT(G60)),2*F60/(2*F60+G60+H60),""),"")</x:f>
      </x:c>
      <x:c r="L60" s="22"/>
    </x:row>
    <x:row r="61" ht="36" customHeight="1">
      <x:c r="A61" s="14" t="str">
        <x:v>EXEC-053</x:v>
      </x:c>
      <x:c r="B61" s="19"/>
      <x:c r="C61" s="19"/>
      <x:c r="D61" s="24"/>
      <x:c r="E61" s="25"/>
      <x:c r="F61" s="26" t="str">
        <x:f>IF(OR(C61="",E61=""),"",IF(COUNTIF($Z$3:$Z$58,C61&amp;"|"&amp;E61)=0,"",VLOOKUP(C61&amp;"|"&amp;E61,$Z$3:$AA$58,2,FALSE)))</x:f>
      </x:c>
      <x:c r="G61" s="24"/>
      <x:c r="H61" s="26" t="str">
        <x:f>IF(ISNUMBER(F61),VLOOKUP(C61,$X$3:$Y$12,2,FALSE)-F61,"")</x:f>
      </x:c>
      <x:c r="I61" s="27" t="str">
        <x:f>IF(AND(B61&lt;&gt;"",D61&lt;&gt;"",COUNT(F61:H61)=3),IF(AND(G61&gt;=0,G61=INT(G61)),IF(F61+G61=0,"Indefinida",F61/(F61+G61)),""),"")</x:f>
      </x:c>
      <x:c r="J61" s="27" t="str">
        <x:f>IF(AND(B61&lt;&gt;"",D61&lt;&gt;"",COUNT(F61:H61)=3),IF(AND(G61&gt;=0,G61=INT(G61)),F61/(F61+H61),""),"")</x:f>
      </x:c>
      <x:c r="K61" s="27" t="str">
        <x:f>IF(AND(B61&lt;&gt;"",D61&lt;&gt;"",COUNT(F61:H61)=3),IF(AND(G61&gt;=0,G61=INT(G61)),2*F61/(2*F61+G61+H61),""),"")</x:f>
      </x:c>
      <x:c r="L61" s="22"/>
    </x:row>
    <x:row r="62" ht="36" customHeight="1">
      <x:c r="A62" s="14" t="str">
        <x:v>EXEC-054</x:v>
      </x:c>
      <x:c r="B62" s="19"/>
      <x:c r="C62" s="19"/>
      <x:c r="D62" s="24"/>
      <x:c r="E62" s="25"/>
      <x:c r="F62" s="26" t="str">
        <x:f>IF(OR(C62="",E62=""),"",IF(COUNTIF($Z$3:$Z$58,C62&amp;"|"&amp;E62)=0,"",VLOOKUP(C62&amp;"|"&amp;E62,$Z$3:$AA$58,2,FALSE)))</x:f>
      </x:c>
      <x:c r="G62" s="24"/>
      <x:c r="H62" s="26" t="str">
        <x:f>IF(ISNUMBER(F62),VLOOKUP(C62,$X$3:$Y$12,2,FALSE)-F62,"")</x:f>
      </x:c>
      <x:c r="I62" s="27" t="str">
        <x:f>IF(AND(B62&lt;&gt;"",D62&lt;&gt;"",COUNT(F62:H62)=3),IF(AND(G62&gt;=0,G62=INT(G62)),IF(F62+G62=0,"Indefinida",F62/(F62+G62)),""),"")</x:f>
      </x:c>
      <x:c r="J62" s="27" t="str">
        <x:f>IF(AND(B62&lt;&gt;"",D62&lt;&gt;"",COUNT(F62:H62)=3),IF(AND(G62&gt;=0,G62=INT(G62)),F62/(F62+H62),""),"")</x:f>
      </x:c>
      <x:c r="K62" s="27" t="str">
        <x:f>IF(AND(B62&lt;&gt;"",D62&lt;&gt;"",COUNT(F62:H62)=3),IF(AND(G62&gt;=0,G62=INT(G62)),2*F62/(2*F62+G62+H62),""),"")</x:f>
      </x:c>
      <x:c r="L62" s="22"/>
    </x:row>
    <x:row r="63" ht="36" customHeight="1">
      <x:c r="A63" s="14" t="str">
        <x:v>EXEC-055</x:v>
      </x:c>
      <x:c r="B63" s="19"/>
      <x:c r="C63" s="19"/>
      <x:c r="D63" s="24"/>
      <x:c r="E63" s="25"/>
      <x:c r="F63" s="26" t="str">
        <x:f>IF(OR(C63="",E63=""),"",IF(COUNTIF($Z$3:$Z$58,C63&amp;"|"&amp;E63)=0,"",VLOOKUP(C63&amp;"|"&amp;E63,$Z$3:$AA$58,2,FALSE)))</x:f>
      </x:c>
      <x:c r="G63" s="24"/>
      <x:c r="H63" s="26" t="str">
        <x:f>IF(ISNUMBER(F63),VLOOKUP(C63,$X$3:$Y$12,2,FALSE)-F63,"")</x:f>
      </x:c>
      <x:c r="I63" s="27" t="str">
        <x:f>IF(AND(B63&lt;&gt;"",D63&lt;&gt;"",COUNT(F63:H63)=3),IF(AND(G63&gt;=0,G63=INT(G63)),IF(F63+G63=0,"Indefinida",F63/(F63+G63)),""),"")</x:f>
      </x:c>
      <x:c r="J63" s="27" t="str">
        <x:f>IF(AND(B63&lt;&gt;"",D63&lt;&gt;"",COUNT(F63:H63)=3),IF(AND(G63&gt;=0,G63=INT(G63)),F63/(F63+H63),""),"")</x:f>
      </x:c>
      <x:c r="K63" s="27" t="str">
        <x:f>IF(AND(B63&lt;&gt;"",D63&lt;&gt;"",COUNT(F63:H63)=3),IF(AND(G63&gt;=0,G63=INT(G63)),2*F63/(2*F63+G63+H63),""),"")</x:f>
      </x:c>
      <x:c r="L63" s="22"/>
    </x:row>
    <x:row r="64" ht="36" customHeight="1">
      <x:c r="A64" s="14" t="str">
        <x:v>EXEC-056</x:v>
      </x:c>
      <x:c r="B64" s="19"/>
      <x:c r="C64" s="19"/>
      <x:c r="D64" s="24"/>
      <x:c r="E64" s="25"/>
      <x:c r="F64" s="26" t="str">
        <x:f>IF(OR(C64="",E64=""),"",IF(COUNTIF($Z$3:$Z$58,C64&amp;"|"&amp;E64)=0,"",VLOOKUP(C64&amp;"|"&amp;E64,$Z$3:$AA$58,2,FALSE)))</x:f>
      </x:c>
      <x:c r="G64" s="24"/>
      <x:c r="H64" s="26" t="str">
        <x:f>IF(ISNUMBER(F64),VLOOKUP(C64,$X$3:$Y$12,2,FALSE)-F64,"")</x:f>
      </x:c>
      <x:c r="I64" s="27" t="str">
        <x:f>IF(AND(B64&lt;&gt;"",D64&lt;&gt;"",COUNT(F64:H64)=3),IF(AND(G64&gt;=0,G64=INT(G64)),IF(F64+G64=0,"Indefinida",F64/(F64+G64)),""),"")</x:f>
      </x:c>
      <x:c r="J64" s="27" t="str">
        <x:f>IF(AND(B64&lt;&gt;"",D64&lt;&gt;"",COUNT(F64:H64)=3),IF(AND(G64&gt;=0,G64=INT(G64)),F64/(F64+H64),""),"")</x:f>
      </x:c>
      <x:c r="K64" s="27" t="str">
        <x:f>IF(AND(B64&lt;&gt;"",D64&lt;&gt;"",COUNT(F64:H64)=3),IF(AND(G64&gt;=0,G64=INT(G64)),2*F64/(2*F64+G64+H64),""),"")</x:f>
      </x:c>
      <x:c r="L64" s="22"/>
    </x:row>
    <x:row r="65" ht="36" customHeight="1">
      <x:c r="A65" s="14" t="str">
        <x:v>EXEC-057</x:v>
      </x:c>
      <x:c r="B65" s="19"/>
      <x:c r="C65" s="19"/>
      <x:c r="D65" s="24"/>
      <x:c r="E65" s="25"/>
      <x:c r="F65" s="26" t="str">
        <x:f>IF(OR(C65="",E65=""),"",IF(COUNTIF($Z$3:$Z$58,C65&amp;"|"&amp;E65)=0,"",VLOOKUP(C65&amp;"|"&amp;E65,$Z$3:$AA$58,2,FALSE)))</x:f>
      </x:c>
      <x:c r="G65" s="24"/>
      <x:c r="H65" s="26" t="str">
        <x:f>IF(ISNUMBER(F65),VLOOKUP(C65,$X$3:$Y$12,2,FALSE)-F65,"")</x:f>
      </x:c>
      <x:c r="I65" s="27" t="str">
        <x:f>IF(AND(B65&lt;&gt;"",D65&lt;&gt;"",COUNT(F65:H65)=3),IF(AND(G65&gt;=0,G65=INT(G65)),IF(F65+G65=0,"Indefinida",F65/(F65+G65)),""),"")</x:f>
      </x:c>
      <x:c r="J65" s="27" t="str">
        <x:f>IF(AND(B65&lt;&gt;"",D65&lt;&gt;"",COUNT(F65:H65)=3),IF(AND(G65&gt;=0,G65=INT(G65)),F65/(F65+H65),""),"")</x:f>
      </x:c>
      <x:c r="K65" s="27" t="str">
        <x:f>IF(AND(B65&lt;&gt;"",D65&lt;&gt;"",COUNT(F65:H65)=3),IF(AND(G65&gt;=0,G65=INT(G65)),2*F65/(2*F65+G65+H65),""),"")</x:f>
      </x:c>
      <x:c r="L65" s="22"/>
    </x:row>
    <x:row r="66" ht="36" customHeight="1">
      <x:c r="A66" s="14" t="str">
        <x:v>EXEC-058</x:v>
      </x:c>
      <x:c r="B66" s="19"/>
      <x:c r="C66" s="19"/>
      <x:c r="D66" s="24"/>
      <x:c r="E66" s="25"/>
      <x:c r="F66" s="26" t="str">
        <x:f>IF(OR(C66="",E66=""),"",IF(COUNTIF($Z$3:$Z$58,C66&amp;"|"&amp;E66)=0,"",VLOOKUP(C66&amp;"|"&amp;E66,$Z$3:$AA$58,2,FALSE)))</x:f>
      </x:c>
      <x:c r="G66" s="24"/>
      <x:c r="H66" s="26" t="str">
        <x:f>IF(ISNUMBER(F66),VLOOKUP(C66,$X$3:$Y$12,2,FALSE)-F66,"")</x:f>
      </x:c>
      <x:c r="I66" s="27" t="str">
        <x:f>IF(AND(B66&lt;&gt;"",D66&lt;&gt;"",COUNT(F66:H66)=3),IF(AND(G66&gt;=0,G66=INT(G66)),IF(F66+G66=0,"Indefinida",F66/(F66+G66)),""),"")</x:f>
      </x:c>
      <x:c r="J66" s="27" t="str">
        <x:f>IF(AND(B66&lt;&gt;"",D66&lt;&gt;"",COUNT(F66:H66)=3),IF(AND(G66&gt;=0,G66=INT(G66)),F66/(F66+H66),""),"")</x:f>
      </x:c>
      <x:c r="K66" s="27" t="str">
        <x:f>IF(AND(B66&lt;&gt;"",D66&lt;&gt;"",COUNT(F66:H66)=3),IF(AND(G66&gt;=0,G66=INT(G66)),2*F66/(2*F66+G66+H66),""),"")</x:f>
      </x:c>
      <x:c r="L66" s="22"/>
    </x:row>
    <x:row r="67" ht="36" customHeight="1">
      <x:c r="A67" s="14" t="str">
        <x:v>EXEC-059</x:v>
      </x:c>
      <x:c r="B67" s="19"/>
      <x:c r="C67" s="19"/>
      <x:c r="D67" s="24"/>
      <x:c r="E67" s="25"/>
      <x:c r="F67" s="26" t="str">
        <x:f>IF(OR(C67="",E67=""),"",IF(COUNTIF($Z$3:$Z$58,C67&amp;"|"&amp;E67)=0,"",VLOOKUP(C67&amp;"|"&amp;E67,$Z$3:$AA$58,2,FALSE)))</x:f>
      </x:c>
      <x:c r="G67" s="24"/>
      <x:c r="H67" s="26" t="str">
        <x:f>IF(ISNUMBER(F67),VLOOKUP(C67,$X$3:$Y$12,2,FALSE)-F67,"")</x:f>
      </x:c>
      <x:c r="I67" s="27" t="str">
        <x:f>IF(AND(B67&lt;&gt;"",D67&lt;&gt;"",COUNT(F67:H67)=3),IF(AND(G67&gt;=0,G67=INT(G67)),IF(F67+G67=0,"Indefinida",F67/(F67+G67)),""),"")</x:f>
      </x:c>
      <x:c r="J67" s="27" t="str">
        <x:f>IF(AND(B67&lt;&gt;"",D67&lt;&gt;"",COUNT(F67:H67)=3),IF(AND(G67&gt;=0,G67=INT(G67)),F67/(F67+H67),""),"")</x:f>
      </x:c>
      <x:c r="K67" s="27" t="str">
        <x:f>IF(AND(B67&lt;&gt;"",D67&lt;&gt;"",COUNT(F67:H67)=3),IF(AND(G67&gt;=0,G67=INT(G67)),2*F67/(2*F67+G67+H67),""),"")</x:f>
      </x:c>
      <x:c r="L67" s="22"/>
    </x:row>
    <x:row r="68" ht="36" customHeight="1">
      <x:c r="A68" s="14" t="str">
        <x:v>EXEC-060</x:v>
      </x:c>
      <x:c r="B68" s="19"/>
      <x:c r="C68" s="19"/>
      <x:c r="D68" s="24"/>
      <x:c r="E68" s="25"/>
      <x:c r="F68" s="26" t="str">
        <x:f>IF(OR(C68="",E68=""),"",IF(COUNTIF($Z$3:$Z$58,C68&amp;"|"&amp;E68)=0,"",VLOOKUP(C68&amp;"|"&amp;E68,$Z$3:$AA$58,2,FALSE)))</x:f>
      </x:c>
      <x:c r="G68" s="24"/>
      <x:c r="H68" s="26" t="str">
        <x:f>IF(ISNUMBER(F68),VLOOKUP(C68,$X$3:$Y$12,2,FALSE)-F68,"")</x:f>
      </x:c>
      <x:c r="I68" s="27" t="str">
        <x:f>IF(AND(B68&lt;&gt;"",D68&lt;&gt;"",COUNT(F68:H68)=3),IF(AND(G68&gt;=0,G68=INT(G68)),IF(F68+G68=0,"Indefinida",F68/(F68+G68)),""),"")</x:f>
      </x:c>
      <x:c r="J68" s="27" t="str">
        <x:f>IF(AND(B68&lt;&gt;"",D68&lt;&gt;"",COUNT(F68:H68)=3),IF(AND(G68&gt;=0,G68=INT(G68)),F68/(F68+H68),""),"")</x:f>
      </x:c>
      <x:c r="K68" s="27" t="str">
        <x:f>IF(AND(B68&lt;&gt;"",D68&lt;&gt;"",COUNT(F68:H68)=3),IF(AND(G68&gt;=0,G68=INT(G68)),2*F68/(2*F68+G68+H68),""),"")</x:f>
      </x:c>
      <x:c r="L68" s="22"/>
    </x:row>
    <x:row r="69" ht="36" customHeight="1">
      <x:c r="A69" s="14" t="str">
        <x:v>EXEC-061</x:v>
      </x:c>
      <x:c r="B69" s="19"/>
      <x:c r="C69" s="19"/>
      <x:c r="D69" s="24"/>
      <x:c r="E69" s="25"/>
      <x:c r="F69" s="26" t="str">
        <x:f>IF(OR(C69="",E69=""),"",IF(COUNTIF($Z$3:$Z$58,C69&amp;"|"&amp;E69)=0,"",VLOOKUP(C69&amp;"|"&amp;E69,$Z$3:$AA$58,2,FALSE)))</x:f>
      </x:c>
      <x:c r="G69" s="24"/>
      <x:c r="H69" s="26" t="str">
        <x:f>IF(ISNUMBER(F69),VLOOKUP(C69,$X$3:$Y$12,2,FALSE)-F69,"")</x:f>
      </x:c>
      <x:c r="I69" s="27" t="str">
        <x:f>IF(AND(B69&lt;&gt;"",D69&lt;&gt;"",COUNT(F69:H69)=3),IF(AND(G69&gt;=0,G69=INT(G69)),IF(F69+G69=0,"Indefinida",F69/(F69+G69)),""),"")</x:f>
      </x:c>
      <x:c r="J69" s="27" t="str">
        <x:f>IF(AND(B69&lt;&gt;"",D69&lt;&gt;"",COUNT(F69:H69)=3),IF(AND(G69&gt;=0,G69=INT(G69)),F69/(F69+H69),""),"")</x:f>
      </x:c>
      <x:c r="K69" s="27" t="str">
        <x:f>IF(AND(B69&lt;&gt;"",D69&lt;&gt;"",COUNT(F69:H69)=3),IF(AND(G69&gt;=0,G69=INT(G69)),2*F69/(2*F69+G69+H69),""),"")</x:f>
      </x:c>
      <x:c r="L69" s="22"/>
    </x:row>
    <x:row r="70" ht="36" customHeight="1">
      <x:c r="A70" s="14" t="str">
        <x:v>EXEC-062</x:v>
      </x:c>
      <x:c r="B70" s="19"/>
      <x:c r="C70" s="19"/>
      <x:c r="D70" s="24"/>
      <x:c r="E70" s="25"/>
      <x:c r="F70" s="26" t="str">
        <x:f>IF(OR(C70="",E70=""),"",IF(COUNTIF($Z$3:$Z$58,C70&amp;"|"&amp;E70)=0,"",VLOOKUP(C70&amp;"|"&amp;E70,$Z$3:$AA$58,2,FALSE)))</x:f>
      </x:c>
      <x:c r="G70" s="24"/>
      <x:c r="H70" s="26" t="str">
        <x:f>IF(ISNUMBER(F70),VLOOKUP(C70,$X$3:$Y$12,2,FALSE)-F70,"")</x:f>
      </x:c>
      <x:c r="I70" s="27" t="str">
        <x:f>IF(AND(B70&lt;&gt;"",D70&lt;&gt;"",COUNT(F70:H70)=3),IF(AND(G70&gt;=0,G70=INT(G70)),IF(F70+G70=0,"Indefinida",F70/(F70+G70)),""),"")</x:f>
      </x:c>
      <x:c r="J70" s="27" t="str">
        <x:f>IF(AND(B70&lt;&gt;"",D70&lt;&gt;"",COUNT(F70:H70)=3),IF(AND(G70&gt;=0,G70=INT(G70)),F70/(F70+H70),""),"")</x:f>
      </x:c>
      <x:c r="K70" s="27" t="str">
        <x:f>IF(AND(B70&lt;&gt;"",D70&lt;&gt;"",COUNT(F70:H70)=3),IF(AND(G70&gt;=0,G70=INT(G70)),2*F70/(2*F70+G70+H70),""),"")</x:f>
      </x:c>
      <x:c r="L70" s="22"/>
    </x:row>
    <x:row r="71" ht="36" customHeight="1">
      <x:c r="A71" s="14" t="str">
        <x:v>EXEC-063</x:v>
      </x:c>
      <x:c r="B71" s="19"/>
      <x:c r="C71" s="19"/>
      <x:c r="D71" s="24"/>
      <x:c r="E71" s="25"/>
      <x:c r="F71" s="26" t="str">
        <x:f>IF(OR(C71="",E71=""),"",IF(COUNTIF($Z$3:$Z$58,C71&amp;"|"&amp;E71)=0,"",VLOOKUP(C71&amp;"|"&amp;E71,$Z$3:$AA$58,2,FALSE)))</x:f>
      </x:c>
      <x:c r="G71" s="24"/>
      <x:c r="H71" s="26" t="str">
        <x:f>IF(ISNUMBER(F71),VLOOKUP(C71,$X$3:$Y$12,2,FALSE)-F71,"")</x:f>
      </x:c>
      <x:c r="I71" s="27" t="str">
        <x:f>IF(AND(B71&lt;&gt;"",D71&lt;&gt;"",COUNT(F71:H71)=3),IF(AND(G71&gt;=0,G71=INT(G71)),IF(F71+G71=0,"Indefinida",F71/(F71+G71)),""),"")</x:f>
      </x:c>
      <x:c r="J71" s="27" t="str">
        <x:f>IF(AND(B71&lt;&gt;"",D71&lt;&gt;"",COUNT(F71:H71)=3),IF(AND(G71&gt;=0,G71=INT(G71)),F71/(F71+H71),""),"")</x:f>
      </x:c>
      <x:c r="K71" s="27" t="str">
        <x:f>IF(AND(B71&lt;&gt;"",D71&lt;&gt;"",COUNT(F71:H71)=3),IF(AND(G71&gt;=0,G71=INT(G71)),2*F71/(2*F71+G71+H71),""),"")</x:f>
      </x:c>
      <x:c r="L71" s="22"/>
    </x:row>
    <x:row r="72" ht="36" customHeight="1">
      <x:c r="A72" s="14" t="str">
        <x:v>EXEC-064</x:v>
      </x:c>
      <x:c r="B72" s="19"/>
      <x:c r="C72" s="19"/>
      <x:c r="D72" s="24"/>
      <x:c r="E72" s="25"/>
      <x:c r="F72" s="26" t="str">
        <x:f>IF(OR(C72="",E72=""),"",IF(COUNTIF($Z$3:$Z$58,C72&amp;"|"&amp;E72)=0,"",VLOOKUP(C72&amp;"|"&amp;E72,$Z$3:$AA$58,2,FALSE)))</x:f>
      </x:c>
      <x:c r="G72" s="24"/>
      <x:c r="H72" s="26" t="str">
        <x:f>IF(ISNUMBER(F72),VLOOKUP(C72,$X$3:$Y$12,2,FALSE)-F72,"")</x:f>
      </x:c>
      <x:c r="I72" s="27" t="str">
        <x:f>IF(AND(B72&lt;&gt;"",D72&lt;&gt;"",COUNT(F72:H72)=3),IF(AND(G72&gt;=0,G72=INT(G72)),IF(F72+G72=0,"Indefinida",F72/(F72+G72)),""),"")</x:f>
      </x:c>
      <x:c r="J72" s="27" t="str">
        <x:f>IF(AND(B72&lt;&gt;"",D72&lt;&gt;"",COUNT(F72:H72)=3),IF(AND(G72&gt;=0,G72=INT(G72)),F72/(F72+H72),""),"")</x:f>
      </x:c>
      <x:c r="K72" s="27" t="str">
        <x:f>IF(AND(B72&lt;&gt;"",D72&lt;&gt;"",COUNT(F72:H72)=3),IF(AND(G72&gt;=0,G72=INT(G72)),2*F72/(2*F72+G72+H72),""),"")</x:f>
      </x:c>
      <x:c r="L72" s="22"/>
    </x:row>
    <x:row r="73" ht="36" customHeight="1">
      <x:c r="A73" s="14" t="str">
        <x:v>EXEC-065</x:v>
      </x:c>
      <x:c r="B73" s="19"/>
      <x:c r="C73" s="19"/>
      <x:c r="D73" s="24"/>
      <x:c r="E73" s="25"/>
      <x:c r="F73" s="26" t="str">
        <x:f>IF(OR(C73="",E73=""),"",IF(COUNTIF($Z$3:$Z$58,C73&amp;"|"&amp;E73)=0,"",VLOOKUP(C73&amp;"|"&amp;E73,$Z$3:$AA$58,2,FALSE)))</x:f>
      </x:c>
      <x:c r="G73" s="24"/>
      <x:c r="H73" s="26" t="str">
        <x:f>IF(ISNUMBER(F73),VLOOKUP(C73,$X$3:$Y$12,2,FALSE)-F73,"")</x:f>
      </x:c>
      <x:c r="I73" s="27" t="str">
        <x:f>IF(AND(B73&lt;&gt;"",D73&lt;&gt;"",COUNT(F73:H73)=3),IF(AND(G73&gt;=0,G73=INT(G73)),IF(F73+G73=0,"Indefinida",F73/(F73+G73)),""),"")</x:f>
      </x:c>
      <x:c r="J73" s="27" t="str">
        <x:f>IF(AND(B73&lt;&gt;"",D73&lt;&gt;"",COUNT(F73:H73)=3),IF(AND(G73&gt;=0,G73=INT(G73)),F73/(F73+H73),""),"")</x:f>
      </x:c>
      <x:c r="K73" s="27" t="str">
        <x:f>IF(AND(B73&lt;&gt;"",D73&lt;&gt;"",COUNT(F73:H73)=3),IF(AND(G73&gt;=0,G73=INT(G73)),2*F73/(2*F73+G73+H73),""),"")</x:f>
      </x:c>
      <x:c r="L73" s="22"/>
    </x:row>
    <x:row r="74" ht="36" customHeight="1">
      <x:c r="A74" s="14" t="str">
        <x:v>EXEC-066</x:v>
      </x:c>
      <x:c r="B74" s="19"/>
      <x:c r="C74" s="19"/>
      <x:c r="D74" s="24"/>
      <x:c r="E74" s="25"/>
      <x:c r="F74" s="26" t="str">
        <x:f>IF(OR(C74="",E74=""),"",IF(COUNTIF($Z$3:$Z$58,C74&amp;"|"&amp;E74)=0,"",VLOOKUP(C74&amp;"|"&amp;E74,$Z$3:$AA$58,2,FALSE)))</x:f>
      </x:c>
      <x:c r="G74" s="24"/>
      <x:c r="H74" s="26" t="str">
        <x:f>IF(ISNUMBER(F74),VLOOKUP(C74,$X$3:$Y$12,2,FALSE)-F74,"")</x:f>
      </x:c>
      <x:c r="I74" s="27" t="str">
        <x:f>IF(AND(B74&lt;&gt;"",D74&lt;&gt;"",COUNT(F74:H74)=3),IF(AND(G74&gt;=0,G74=INT(G74)),IF(F74+G74=0,"Indefinida",F74/(F74+G74)),""),"")</x:f>
      </x:c>
      <x:c r="J74" s="27" t="str">
        <x:f>IF(AND(B74&lt;&gt;"",D74&lt;&gt;"",COUNT(F74:H74)=3),IF(AND(G74&gt;=0,G74=INT(G74)),F74/(F74+H74),""),"")</x:f>
      </x:c>
      <x:c r="K74" s="27" t="str">
        <x:f>IF(AND(B74&lt;&gt;"",D74&lt;&gt;"",COUNT(F74:H74)=3),IF(AND(G74&gt;=0,G74=INT(G74)),2*F74/(2*F74+G74+H74),""),"")</x:f>
      </x:c>
      <x:c r="L74" s="22"/>
    </x:row>
    <x:row r="75" ht="36" customHeight="1">
      <x:c r="A75" s="14" t="str">
        <x:v>EXEC-067</x:v>
      </x:c>
      <x:c r="B75" s="19"/>
      <x:c r="C75" s="19"/>
      <x:c r="D75" s="24"/>
      <x:c r="E75" s="25"/>
      <x:c r="F75" s="26" t="str">
        <x:f>IF(OR(C75="",E75=""),"",IF(COUNTIF($Z$3:$Z$58,C75&amp;"|"&amp;E75)=0,"",VLOOKUP(C75&amp;"|"&amp;E75,$Z$3:$AA$58,2,FALSE)))</x:f>
      </x:c>
      <x:c r="G75" s="24"/>
      <x:c r="H75" s="26" t="str">
        <x:f>IF(ISNUMBER(F75),VLOOKUP(C75,$X$3:$Y$12,2,FALSE)-F75,"")</x:f>
      </x:c>
      <x:c r="I75" s="27" t="str">
        <x:f>IF(AND(B75&lt;&gt;"",D75&lt;&gt;"",COUNT(F75:H75)=3),IF(AND(G75&gt;=0,G75=INT(G75)),IF(F75+G75=0,"Indefinida",F75/(F75+G75)),""),"")</x:f>
      </x:c>
      <x:c r="J75" s="27" t="str">
        <x:f>IF(AND(B75&lt;&gt;"",D75&lt;&gt;"",COUNT(F75:H75)=3),IF(AND(G75&gt;=0,G75=INT(G75)),F75/(F75+H75),""),"")</x:f>
      </x:c>
      <x:c r="K75" s="27" t="str">
        <x:f>IF(AND(B75&lt;&gt;"",D75&lt;&gt;"",COUNT(F75:H75)=3),IF(AND(G75&gt;=0,G75=INT(G75)),2*F75/(2*F75+G75+H75),""),"")</x:f>
      </x:c>
      <x:c r="L75" s="22"/>
    </x:row>
    <x:row r="76" ht="36" customHeight="1">
      <x:c r="A76" s="14" t="str">
        <x:v>EXEC-068</x:v>
      </x:c>
      <x:c r="B76" s="19"/>
      <x:c r="C76" s="19"/>
      <x:c r="D76" s="24"/>
      <x:c r="E76" s="25"/>
      <x:c r="F76" s="26" t="str">
        <x:f>IF(OR(C76="",E76=""),"",IF(COUNTIF($Z$3:$Z$58,C76&amp;"|"&amp;E76)=0,"",VLOOKUP(C76&amp;"|"&amp;E76,$Z$3:$AA$58,2,FALSE)))</x:f>
      </x:c>
      <x:c r="G76" s="24"/>
      <x:c r="H76" s="26" t="str">
        <x:f>IF(ISNUMBER(F76),VLOOKUP(C76,$X$3:$Y$12,2,FALSE)-F76,"")</x:f>
      </x:c>
      <x:c r="I76" s="27" t="str">
        <x:f>IF(AND(B76&lt;&gt;"",D76&lt;&gt;"",COUNT(F76:H76)=3),IF(AND(G76&gt;=0,G76=INT(G76)),IF(F76+G76=0,"Indefinida",F76/(F76+G76)),""),"")</x:f>
      </x:c>
      <x:c r="J76" s="27" t="str">
        <x:f>IF(AND(B76&lt;&gt;"",D76&lt;&gt;"",COUNT(F76:H76)=3),IF(AND(G76&gt;=0,G76=INT(G76)),F76/(F76+H76),""),"")</x:f>
      </x:c>
      <x:c r="K76" s="27" t="str">
        <x:f>IF(AND(B76&lt;&gt;"",D76&lt;&gt;"",COUNT(F76:H76)=3),IF(AND(G76&gt;=0,G76=INT(G76)),2*F76/(2*F76+G76+H76),""),"")</x:f>
      </x:c>
      <x:c r="L76" s="22"/>
    </x:row>
    <x:row r="77" ht="36" customHeight="1">
      <x:c r="A77" s="14" t="str">
        <x:v>EXEC-069</x:v>
      </x:c>
      <x:c r="B77" s="19"/>
      <x:c r="C77" s="19"/>
      <x:c r="D77" s="24"/>
      <x:c r="E77" s="25"/>
      <x:c r="F77" s="26" t="str">
        <x:f>IF(OR(C77="",E77=""),"",IF(COUNTIF($Z$3:$Z$58,C77&amp;"|"&amp;E77)=0,"",VLOOKUP(C77&amp;"|"&amp;E77,$Z$3:$AA$58,2,FALSE)))</x:f>
      </x:c>
      <x:c r="G77" s="24"/>
      <x:c r="H77" s="26" t="str">
        <x:f>IF(ISNUMBER(F77),VLOOKUP(C77,$X$3:$Y$12,2,FALSE)-F77,"")</x:f>
      </x:c>
      <x:c r="I77" s="27" t="str">
        <x:f>IF(AND(B77&lt;&gt;"",D77&lt;&gt;"",COUNT(F77:H77)=3),IF(AND(G77&gt;=0,G77=INT(G77)),IF(F77+G77=0,"Indefinida",F77/(F77+G77)),""),"")</x:f>
      </x:c>
      <x:c r="J77" s="27" t="str">
        <x:f>IF(AND(B77&lt;&gt;"",D77&lt;&gt;"",COUNT(F77:H77)=3),IF(AND(G77&gt;=0,G77=INT(G77)),F77/(F77+H77),""),"")</x:f>
      </x:c>
      <x:c r="K77" s="27" t="str">
        <x:f>IF(AND(B77&lt;&gt;"",D77&lt;&gt;"",COUNT(F77:H77)=3),IF(AND(G77&gt;=0,G77=INT(G77)),2*F77/(2*F77+G77+H77),""),"")</x:f>
      </x:c>
      <x:c r="L77" s="22"/>
    </x:row>
    <x:row r="78" ht="36" customHeight="1">
      <x:c r="A78" s="14" t="str">
        <x:v>EXEC-070</x:v>
      </x:c>
      <x:c r="B78" s="19"/>
      <x:c r="C78" s="19"/>
      <x:c r="D78" s="24"/>
      <x:c r="E78" s="25"/>
      <x:c r="F78" s="26" t="str">
        <x:f>IF(OR(C78="",E78=""),"",IF(COUNTIF($Z$3:$Z$58,C78&amp;"|"&amp;E78)=0,"",VLOOKUP(C78&amp;"|"&amp;E78,$Z$3:$AA$58,2,FALSE)))</x:f>
      </x:c>
      <x:c r="G78" s="24"/>
      <x:c r="H78" s="26" t="str">
        <x:f>IF(ISNUMBER(F78),VLOOKUP(C78,$X$3:$Y$12,2,FALSE)-F78,"")</x:f>
      </x:c>
      <x:c r="I78" s="27" t="str">
        <x:f>IF(AND(B78&lt;&gt;"",D78&lt;&gt;"",COUNT(F78:H78)=3),IF(AND(G78&gt;=0,G78=INT(G78)),IF(F78+G78=0,"Indefinida",F78/(F78+G78)),""),"")</x:f>
      </x:c>
      <x:c r="J78" s="27" t="str">
        <x:f>IF(AND(B78&lt;&gt;"",D78&lt;&gt;"",COUNT(F78:H78)=3),IF(AND(G78&gt;=0,G78=INT(G78)),F78/(F78+H78),""),"")</x:f>
      </x:c>
      <x:c r="K78" s="27" t="str">
        <x:f>IF(AND(B78&lt;&gt;"",D78&lt;&gt;"",COUNT(F78:H78)=3),IF(AND(G78&gt;=0,G78=INT(G78)),2*F78/(2*F78+G78+H78),""),"")</x:f>
      </x:c>
      <x:c r="L78" s="22"/>
    </x:row>
    <x:row r="79" ht="36" customHeight="1">
      <x:c r="A79" s="14" t="str">
        <x:v>EXEC-071</x:v>
      </x:c>
      <x:c r="B79" s="19"/>
      <x:c r="C79" s="19"/>
      <x:c r="D79" s="24"/>
      <x:c r="E79" s="25"/>
      <x:c r="F79" s="26" t="str">
        <x:f>IF(OR(C79="",E79=""),"",IF(COUNTIF($Z$3:$Z$58,C79&amp;"|"&amp;E79)=0,"",VLOOKUP(C79&amp;"|"&amp;E79,$Z$3:$AA$58,2,FALSE)))</x:f>
      </x:c>
      <x:c r="G79" s="24"/>
      <x:c r="H79" s="26" t="str">
        <x:f>IF(ISNUMBER(F79),VLOOKUP(C79,$X$3:$Y$12,2,FALSE)-F79,"")</x:f>
      </x:c>
      <x:c r="I79" s="27" t="str">
        <x:f>IF(AND(B79&lt;&gt;"",D79&lt;&gt;"",COUNT(F79:H79)=3),IF(AND(G79&gt;=0,G79=INT(G79)),IF(F79+G79=0,"Indefinida",F79/(F79+G79)),""),"")</x:f>
      </x:c>
      <x:c r="J79" s="27" t="str">
        <x:f>IF(AND(B79&lt;&gt;"",D79&lt;&gt;"",COUNT(F79:H79)=3),IF(AND(G79&gt;=0,G79=INT(G79)),F79/(F79+H79),""),"")</x:f>
      </x:c>
      <x:c r="K79" s="27" t="str">
        <x:f>IF(AND(B79&lt;&gt;"",D79&lt;&gt;"",COUNT(F79:H79)=3),IF(AND(G79&gt;=0,G79=INT(G79)),2*F79/(2*F79+G79+H79),""),"")</x:f>
      </x:c>
      <x:c r="L79" s="22"/>
    </x:row>
    <x:row r="80" ht="36" customHeight="1">
      <x:c r="A80" s="14" t="str">
        <x:v>EXEC-072</x:v>
      </x:c>
      <x:c r="B80" s="19"/>
      <x:c r="C80" s="19"/>
      <x:c r="D80" s="24"/>
      <x:c r="E80" s="25"/>
      <x:c r="F80" s="26" t="str">
        <x:f>IF(OR(C80="",E80=""),"",IF(COUNTIF($Z$3:$Z$58,C80&amp;"|"&amp;E80)=0,"",VLOOKUP(C80&amp;"|"&amp;E80,$Z$3:$AA$58,2,FALSE)))</x:f>
      </x:c>
      <x:c r="G80" s="24"/>
      <x:c r="H80" s="26" t="str">
        <x:f>IF(ISNUMBER(F80),VLOOKUP(C80,$X$3:$Y$12,2,FALSE)-F80,"")</x:f>
      </x:c>
      <x:c r="I80" s="27" t="str">
        <x:f>IF(AND(B80&lt;&gt;"",D80&lt;&gt;"",COUNT(F80:H80)=3),IF(AND(G80&gt;=0,G80=INT(G80)),IF(F80+G80=0,"Indefinida",F80/(F80+G80)),""),"")</x:f>
      </x:c>
      <x:c r="J80" s="27" t="str">
        <x:f>IF(AND(B80&lt;&gt;"",D80&lt;&gt;"",COUNT(F80:H80)=3),IF(AND(G80&gt;=0,G80=INT(G80)),F80/(F80+H80),""),"")</x:f>
      </x:c>
      <x:c r="K80" s="27" t="str">
        <x:f>IF(AND(B80&lt;&gt;"",D80&lt;&gt;"",COUNT(F80:H80)=3),IF(AND(G80&gt;=0,G80=INT(G80)),2*F80/(2*F80+G80+H80),""),"")</x:f>
      </x:c>
      <x:c r="L80" s="22"/>
    </x:row>
    <x:row r="81" ht="36" customHeight="1">
      <x:c r="A81" s="14" t="str">
        <x:v>EXEC-073</x:v>
      </x:c>
      <x:c r="B81" s="19"/>
      <x:c r="C81" s="19"/>
      <x:c r="D81" s="24"/>
      <x:c r="E81" s="25"/>
      <x:c r="F81" s="26" t="str">
        <x:f>IF(OR(C81="",E81=""),"",IF(COUNTIF($Z$3:$Z$58,C81&amp;"|"&amp;E81)=0,"",VLOOKUP(C81&amp;"|"&amp;E81,$Z$3:$AA$58,2,FALSE)))</x:f>
      </x:c>
      <x:c r="G81" s="24"/>
      <x:c r="H81" s="26" t="str">
        <x:f>IF(ISNUMBER(F81),VLOOKUP(C81,$X$3:$Y$12,2,FALSE)-F81,"")</x:f>
      </x:c>
      <x:c r="I81" s="27" t="str">
        <x:f>IF(AND(B81&lt;&gt;"",D81&lt;&gt;"",COUNT(F81:H81)=3),IF(AND(G81&gt;=0,G81=INT(G81)),IF(F81+G81=0,"Indefinida",F81/(F81+G81)),""),"")</x:f>
      </x:c>
      <x:c r="J81" s="27" t="str">
        <x:f>IF(AND(B81&lt;&gt;"",D81&lt;&gt;"",COUNT(F81:H81)=3),IF(AND(G81&gt;=0,G81=INT(G81)),F81/(F81+H81),""),"")</x:f>
      </x:c>
      <x:c r="K81" s="27" t="str">
        <x:f>IF(AND(B81&lt;&gt;"",D81&lt;&gt;"",COUNT(F81:H81)=3),IF(AND(G81&gt;=0,G81=INT(G81)),2*F81/(2*F81+G81+H81),""),"")</x:f>
      </x:c>
      <x:c r="L81" s="22"/>
    </x:row>
    <x:row r="82" ht="36" customHeight="1">
      <x:c r="A82" s="14" t="str">
        <x:v>EXEC-074</x:v>
      </x:c>
      <x:c r="B82" s="19"/>
      <x:c r="C82" s="19"/>
      <x:c r="D82" s="24"/>
      <x:c r="E82" s="25"/>
      <x:c r="F82" s="26" t="str">
        <x:f>IF(OR(C82="",E82=""),"",IF(COUNTIF($Z$3:$Z$58,C82&amp;"|"&amp;E82)=0,"",VLOOKUP(C82&amp;"|"&amp;E82,$Z$3:$AA$58,2,FALSE)))</x:f>
      </x:c>
      <x:c r="G82" s="24"/>
      <x:c r="H82" s="26" t="str">
        <x:f>IF(ISNUMBER(F82),VLOOKUP(C82,$X$3:$Y$12,2,FALSE)-F82,"")</x:f>
      </x:c>
      <x:c r="I82" s="27" t="str">
        <x:f>IF(AND(B82&lt;&gt;"",D82&lt;&gt;"",COUNT(F82:H82)=3),IF(AND(G82&gt;=0,G82=INT(G82)),IF(F82+G82=0,"Indefinida",F82/(F82+G82)),""),"")</x:f>
      </x:c>
      <x:c r="J82" s="27" t="str">
        <x:f>IF(AND(B82&lt;&gt;"",D82&lt;&gt;"",COUNT(F82:H82)=3),IF(AND(G82&gt;=0,G82=INT(G82)),F82/(F82+H82),""),"")</x:f>
      </x:c>
      <x:c r="K82" s="27" t="str">
        <x:f>IF(AND(B82&lt;&gt;"",D82&lt;&gt;"",COUNT(F82:H82)=3),IF(AND(G82&gt;=0,G82=INT(G82)),2*F82/(2*F82+G82+H82),""),"")</x:f>
      </x:c>
      <x:c r="L82" s="22"/>
    </x:row>
    <x:row r="83" ht="36" customHeight="1">
      <x:c r="A83" s="14" t="str">
        <x:v>EXEC-075</x:v>
      </x:c>
      <x:c r="B83" s="19"/>
      <x:c r="C83" s="19"/>
      <x:c r="D83" s="24"/>
      <x:c r="E83" s="25"/>
      <x:c r="F83" s="26" t="str">
        <x:f>IF(OR(C83="",E83=""),"",IF(COUNTIF($Z$3:$Z$58,C83&amp;"|"&amp;E83)=0,"",VLOOKUP(C83&amp;"|"&amp;E83,$Z$3:$AA$58,2,FALSE)))</x:f>
      </x:c>
      <x:c r="G83" s="24"/>
      <x:c r="H83" s="26" t="str">
        <x:f>IF(ISNUMBER(F83),VLOOKUP(C83,$X$3:$Y$12,2,FALSE)-F83,"")</x:f>
      </x:c>
      <x:c r="I83" s="27" t="str">
        <x:f>IF(AND(B83&lt;&gt;"",D83&lt;&gt;"",COUNT(F83:H83)=3),IF(AND(G83&gt;=0,G83=INT(G83)),IF(F83+G83=0,"Indefinida",F83/(F83+G83)),""),"")</x:f>
      </x:c>
      <x:c r="J83" s="27" t="str">
        <x:f>IF(AND(B83&lt;&gt;"",D83&lt;&gt;"",COUNT(F83:H83)=3),IF(AND(G83&gt;=0,G83=INT(G83)),F83/(F83+H83),""),"")</x:f>
      </x:c>
      <x:c r="K83" s="27" t="str">
        <x:f>IF(AND(B83&lt;&gt;"",D83&lt;&gt;"",COUNT(F83:H83)=3),IF(AND(G83&gt;=0,G83=INT(G83)),2*F83/(2*F83+G83+H83),""),"")</x:f>
      </x:c>
      <x:c r="L83" s="22"/>
    </x:row>
    <x:row r="84" ht="36" customHeight="1">
      <x:c r="A84" s="14" t="str">
        <x:v>EXEC-076</x:v>
      </x:c>
      <x:c r="B84" s="19"/>
      <x:c r="C84" s="19"/>
      <x:c r="D84" s="24"/>
      <x:c r="E84" s="25"/>
      <x:c r="F84" s="26" t="str">
        <x:f>IF(OR(C84="",E84=""),"",IF(COUNTIF($Z$3:$Z$58,C84&amp;"|"&amp;E84)=0,"",VLOOKUP(C84&amp;"|"&amp;E84,$Z$3:$AA$58,2,FALSE)))</x:f>
      </x:c>
      <x:c r="G84" s="24"/>
      <x:c r="H84" s="26" t="str">
        <x:f>IF(ISNUMBER(F84),VLOOKUP(C84,$X$3:$Y$12,2,FALSE)-F84,"")</x:f>
      </x:c>
      <x:c r="I84" s="27" t="str">
        <x:f>IF(AND(B84&lt;&gt;"",D84&lt;&gt;"",COUNT(F84:H84)=3),IF(AND(G84&gt;=0,G84=INT(G84)),IF(F84+G84=0,"Indefinida",F84/(F84+G84)),""),"")</x:f>
      </x:c>
      <x:c r="J84" s="27" t="str">
        <x:f>IF(AND(B84&lt;&gt;"",D84&lt;&gt;"",COUNT(F84:H84)=3),IF(AND(G84&gt;=0,G84=INT(G84)),F84/(F84+H84),""),"")</x:f>
      </x:c>
      <x:c r="K84" s="27" t="str">
        <x:f>IF(AND(B84&lt;&gt;"",D84&lt;&gt;"",COUNT(F84:H84)=3),IF(AND(G84&gt;=0,G84=INT(G84)),2*F84/(2*F84+G84+H84),""),"")</x:f>
      </x:c>
      <x:c r="L84" s="22"/>
    </x:row>
    <x:row r="85" ht="36" customHeight="1">
      <x:c r="A85" s="14" t="str">
        <x:v>EXEC-077</x:v>
      </x:c>
      <x:c r="B85" s="19"/>
      <x:c r="C85" s="19"/>
      <x:c r="D85" s="24"/>
      <x:c r="E85" s="25"/>
      <x:c r="F85" s="26" t="str">
        <x:f>IF(OR(C85="",E85=""),"",IF(COUNTIF($Z$3:$Z$58,C85&amp;"|"&amp;E85)=0,"",VLOOKUP(C85&amp;"|"&amp;E85,$Z$3:$AA$58,2,FALSE)))</x:f>
      </x:c>
      <x:c r="G85" s="24"/>
      <x:c r="H85" s="26" t="str">
        <x:f>IF(ISNUMBER(F85),VLOOKUP(C85,$X$3:$Y$12,2,FALSE)-F85,"")</x:f>
      </x:c>
      <x:c r="I85" s="27" t="str">
        <x:f>IF(AND(B85&lt;&gt;"",D85&lt;&gt;"",COUNT(F85:H85)=3),IF(AND(G85&gt;=0,G85=INT(G85)),IF(F85+G85=0,"Indefinida",F85/(F85+G85)),""),"")</x:f>
      </x:c>
      <x:c r="J85" s="27" t="str">
        <x:f>IF(AND(B85&lt;&gt;"",D85&lt;&gt;"",COUNT(F85:H85)=3),IF(AND(G85&gt;=0,G85=INT(G85)),F85/(F85+H85),""),"")</x:f>
      </x:c>
      <x:c r="K85" s="27" t="str">
        <x:f>IF(AND(B85&lt;&gt;"",D85&lt;&gt;"",COUNT(F85:H85)=3),IF(AND(G85&gt;=0,G85=INT(G85)),2*F85/(2*F85+G85+H85),""),"")</x:f>
      </x:c>
      <x:c r="L85" s="22"/>
    </x:row>
    <x:row r="86" ht="36" customHeight="1">
      <x:c r="A86" s="14" t="str">
        <x:v>EXEC-078</x:v>
      </x:c>
      <x:c r="B86" s="19"/>
      <x:c r="C86" s="19"/>
      <x:c r="D86" s="24"/>
      <x:c r="E86" s="25"/>
      <x:c r="F86" s="26" t="str">
        <x:f>IF(OR(C86="",E86=""),"",IF(COUNTIF($Z$3:$Z$58,C86&amp;"|"&amp;E86)=0,"",VLOOKUP(C86&amp;"|"&amp;E86,$Z$3:$AA$58,2,FALSE)))</x:f>
      </x:c>
      <x:c r="G86" s="24"/>
      <x:c r="H86" s="26" t="str">
        <x:f>IF(ISNUMBER(F86),VLOOKUP(C86,$X$3:$Y$12,2,FALSE)-F86,"")</x:f>
      </x:c>
      <x:c r="I86" s="27" t="str">
        <x:f>IF(AND(B86&lt;&gt;"",D86&lt;&gt;"",COUNT(F86:H86)=3),IF(AND(G86&gt;=0,G86=INT(G86)),IF(F86+G86=0,"Indefinida",F86/(F86+G86)),""),"")</x:f>
      </x:c>
      <x:c r="J86" s="27" t="str">
        <x:f>IF(AND(B86&lt;&gt;"",D86&lt;&gt;"",COUNT(F86:H86)=3),IF(AND(G86&gt;=0,G86=INT(G86)),F86/(F86+H86),""),"")</x:f>
      </x:c>
      <x:c r="K86" s="27" t="str">
        <x:f>IF(AND(B86&lt;&gt;"",D86&lt;&gt;"",COUNT(F86:H86)=3),IF(AND(G86&gt;=0,G86=INT(G86)),2*F86/(2*F86+G86+H86),""),"")</x:f>
      </x:c>
      <x:c r="L86" s="22"/>
    </x:row>
    <x:row r="87" ht="36" customHeight="1">
      <x:c r="A87" s="14" t="str">
        <x:v>EXEC-079</x:v>
      </x:c>
      <x:c r="B87" s="19"/>
      <x:c r="C87" s="19"/>
      <x:c r="D87" s="24"/>
      <x:c r="E87" s="25"/>
      <x:c r="F87" s="26" t="str">
        <x:f>IF(OR(C87="",E87=""),"",IF(COUNTIF($Z$3:$Z$58,C87&amp;"|"&amp;E87)=0,"",VLOOKUP(C87&amp;"|"&amp;E87,$Z$3:$AA$58,2,FALSE)))</x:f>
      </x:c>
      <x:c r="G87" s="24"/>
      <x:c r="H87" s="26" t="str">
        <x:f>IF(ISNUMBER(F87),VLOOKUP(C87,$X$3:$Y$12,2,FALSE)-F87,"")</x:f>
      </x:c>
      <x:c r="I87" s="27" t="str">
        <x:f>IF(AND(B87&lt;&gt;"",D87&lt;&gt;"",COUNT(F87:H87)=3),IF(AND(G87&gt;=0,G87=INT(G87)),IF(F87+G87=0,"Indefinida",F87/(F87+G87)),""),"")</x:f>
      </x:c>
      <x:c r="J87" s="27" t="str">
        <x:f>IF(AND(B87&lt;&gt;"",D87&lt;&gt;"",COUNT(F87:H87)=3),IF(AND(G87&gt;=0,G87=INT(G87)),F87/(F87+H87),""),"")</x:f>
      </x:c>
      <x:c r="K87" s="27" t="str">
        <x:f>IF(AND(B87&lt;&gt;"",D87&lt;&gt;"",COUNT(F87:H87)=3),IF(AND(G87&gt;=0,G87=INT(G87)),2*F87/(2*F87+G87+H87),""),"")</x:f>
      </x:c>
      <x:c r="L87" s="22"/>
    </x:row>
    <x:row r="88" ht="36" customHeight="1">
      <x:c r="A88" s="14" t="str">
        <x:v>EXEC-080</x:v>
      </x:c>
      <x:c r="B88" s="19"/>
      <x:c r="C88" s="19"/>
      <x:c r="D88" s="24"/>
      <x:c r="E88" s="25"/>
      <x:c r="F88" s="26" t="str">
        <x:f>IF(OR(C88="",E88=""),"",IF(COUNTIF($Z$3:$Z$58,C88&amp;"|"&amp;E88)=0,"",VLOOKUP(C88&amp;"|"&amp;E88,$Z$3:$AA$58,2,FALSE)))</x:f>
      </x:c>
      <x:c r="G88" s="24"/>
      <x:c r="H88" s="26" t="str">
        <x:f>IF(ISNUMBER(F88),VLOOKUP(C88,$X$3:$Y$12,2,FALSE)-F88,"")</x:f>
      </x:c>
      <x:c r="I88" s="27" t="str">
        <x:f>IF(AND(B88&lt;&gt;"",D88&lt;&gt;"",COUNT(F88:H88)=3),IF(AND(G88&gt;=0,G88=INT(G88)),IF(F88+G88=0,"Indefinida",F88/(F88+G88)),""),"")</x:f>
      </x:c>
      <x:c r="J88" s="27" t="str">
        <x:f>IF(AND(B88&lt;&gt;"",D88&lt;&gt;"",COUNT(F88:H88)=3),IF(AND(G88&gt;=0,G88=INT(G88)),F88/(F88+H88),""),"")</x:f>
      </x:c>
      <x:c r="K88" s="27" t="str">
        <x:f>IF(AND(B88&lt;&gt;"",D88&lt;&gt;"",COUNT(F88:H88)=3),IF(AND(G88&gt;=0,G88=INT(G88)),2*F88/(2*F88+G88+H88),""),"")</x:f>
      </x:c>
      <x:c r="L88" s="22"/>
    </x:row>
    <x:row r="89" ht="36" customHeight="1">
      <x:c r="A89" s="14" t="str">
        <x:v>EXEC-081</x:v>
      </x:c>
      <x:c r="B89" s="19"/>
      <x:c r="C89" s="19"/>
      <x:c r="D89" s="24"/>
      <x:c r="E89" s="25"/>
      <x:c r="F89" s="26" t="str">
        <x:f>IF(OR(C89="",E89=""),"",IF(COUNTIF($Z$3:$Z$58,C89&amp;"|"&amp;E89)=0,"",VLOOKUP(C89&amp;"|"&amp;E89,$Z$3:$AA$58,2,FALSE)))</x:f>
      </x:c>
      <x:c r="G89" s="24"/>
      <x:c r="H89" s="26" t="str">
        <x:f>IF(ISNUMBER(F89),VLOOKUP(C89,$X$3:$Y$12,2,FALSE)-F89,"")</x:f>
      </x:c>
      <x:c r="I89" s="27" t="str">
        <x:f>IF(AND(B89&lt;&gt;"",D89&lt;&gt;"",COUNT(F89:H89)=3),IF(AND(G89&gt;=0,G89=INT(G89)),IF(F89+G89=0,"Indefinida",F89/(F89+G89)),""),"")</x:f>
      </x:c>
      <x:c r="J89" s="27" t="str">
        <x:f>IF(AND(B89&lt;&gt;"",D89&lt;&gt;"",COUNT(F89:H89)=3),IF(AND(G89&gt;=0,G89=INT(G89)),F89/(F89+H89),""),"")</x:f>
      </x:c>
      <x:c r="K89" s="27" t="str">
        <x:f>IF(AND(B89&lt;&gt;"",D89&lt;&gt;"",COUNT(F89:H89)=3),IF(AND(G89&gt;=0,G89=INT(G89)),2*F89/(2*F89+G89+H89),""),"")</x:f>
      </x:c>
      <x:c r="L89" s="22"/>
    </x:row>
    <x:row r="90" ht="36" customHeight="1">
      <x:c r="A90" s="14" t="str">
        <x:v>EXEC-082</x:v>
      </x:c>
      <x:c r="B90" s="19"/>
      <x:c r="C90" s="19"/>
      <x:c r="D90" s="24"/>
      <x:c r="E90" s="25"/>
      <x:c r="F90" s="26" t="str">
        <x:f>IF(OR(C90="",E90=""),"",IF(COUNTIF($Z$3:$Z$58,C90&amp;"|"&amp;E90)=0,"",VLOOKUP(C90&amp;"|"&amp;E90,$Z$3:$AA$58,2,FALSE)))</x:f>
      </x:c>
      <x:c r="G90" s="24"/>
      <x:c r="H90" s="26" t="str">
        <x:f>IF(ISNUMBER(F90),VLOOKUP(C90,$X$3:$Y$12,2,FALSE)-F90,"")</x:f>
      </x:c>
      <x:c r="I90" s="27" t="str">
        <x:f>IF(AND(B90&lt;&gt;"",D90&lt;&gt;"",COUNT(F90:H90)=3),IF(AND(G90&gt;=0,G90=INT(G90)),IF(F90+G90=0,"Indefinida",F90/(F90+G90)),""),"")</x:f>
      </x:c>
      <x:c r="J90" s="27" t="str">
        <x:f>IF(AND(B90&lt;&gt;"",D90&lt;&gt;"",COUNT(F90:H90)=3),IF(AND(G90&gt;=0,G90=INT(G90)),F90/(F90+H90),""),"")</x:f>
      </x:c>
      <x:c r="K90" s="27" t="str">
        <x:f>IF(AND(B90&lt;&gt;"",D90&lt;&gt;"",COUNT(F90:H90)=3),IF(AND(G90&gt;=0,G90=INT(G90)),2*F90/(2*F90+G90+H90),""),"")</x:f>
      </x:c>
      <x:c r="L90" s="22"/>
    </x:row>
    <x:row r="91" ht="36" customHeight="1">
      <x:c r="A91" s="14" t="str">
        <x:v>EXEC-083</x:v>
      </x:c>
      <x:c r="B91" s="19"/>
      <x:c r="C91" s="19"/>
      <x:c r="D91" s="24"/>
      <x:c r="E91" s="25"/>
      <x:c r="F91" s="26" t="str">
        <x:f>IF(OR(C91="",E91=""),"",IF(COUNTIF($Z$3:$Z$58,C91&amp;"|"&amp;E91)=0,"",VLOOKUP(C91&amp;"|"&amp;E91,$Z$3:$AA$58,2,FALSE)))</x:f>
      </x:c>
      <x:c r="G91" s="24"/>
      <x:c r="H91" s="26" t="str">
        <x:f>IF(ISNUMBER(F91),VLOOKUP(C91,$X$3:$Y$12,2,FALSE)-F91,"")</x:f>
      </x:c>
      <x:c r="I91" s="27" t="str">
        <x:f>IF(AND(B91&lt;&gt;"",D91&lt;&gt;"",COUNT(F91:H91)=3),IF(AND(G91&gt;=0,G91=INT(G91)),IF(F91+G91=0,"Indefinida",F91/(F91+G91)),""),"")</x:f>
      </x:c>
      <x:c r="J91" s="27" t="str">
        <x:f>IF(AND(B91&lt;&gt;"",D91&lt;&gt;"",COUNT(F91:H91)=3),IF(AND(G91&gt;=0,G91=INT(G91)),F91/(F91+H91),""),"")</x:f>
      </x:c>
      <x:c r="K91" s="27" t="str">
        <x:f>IF(AND(B91&lt;&gt;"",D91&lt;&gt;"",COUNT(F91:H91)=3),IF(AND(G91&gt;=0,G91=INT(G91)),2*F91/(2*F91+G91+H91),""),"")</x:f>
      </x:c>
      <x:c r="L91" s="22"/>
    </x:row>
    <x:row r="92" ht="36" customHeight="1">
      <x:c r="A92" s="14" t="str">
        <x:v>EXEC-084</x:v>
      </x:c>
      <x:c r="B92" s="19"/>
      <x:c r="C92" s="19"/>
      <x:c r="D92" s="24"/>
      <x:c r="E92" s="25"/>
      <x:c r="F92" s="26" t="str">
        <x:f>IF(OR(C92="",E92=""),"",IF(COUNTIF($Z$3:$Z$58,C92&amp;"|"&amp;E92)=0,"",VLOOKUP(C92&amp;"|"&amp;E92,$Z$3:$AA$58,2,FALSE)))</x:f>
      </x:c>
      <x:c r="G92" s="24"/>
      <x:c r="H92" s="26" t="str">
        <x:f>IF(ISNUMBER(F92),VLOOKUP(C92,$X$3:$Y$12,2,FALSE)-F92,"")</x:f>
      </x:c>
      <x:c r="I92" s="27" t="str">
        <x:f>IF(AND(B92&lt;&gt;"",D92&lt;&gt;"",COUNT(F92:H92)=3),IF(AND(G92&gt;=0,G92=INT(G92)),IF(F92+G92=0,"Indefinida",F92/(F92+G92)),""),"")</x:f>
      </x:c>
      <x:c r="J92" s="27" t="str">
        <x:f>IF(AND(B92&lt;&gt;"",D92&lt;&gt;"",COUNT(F92:H92)=3),IF(AND(G92&gt;=0,G92=INT(G92)),F92/(F92+H92),""),"")</x:f>
      </x:c>
      <x:c r="K92" s="27" t="str">
        <x:f>IF(AND(B92&lt;&gt;"",D92&lt;&gt;"",COUNT(F92:H92)=3),IF(AND(G92&gt;=0,G92=INT(G92)),2*F92/(2*F92+G92+H92),""),"")</x:f>
      </x:c>
      <x:c r="L92" s="22"/>
    </x:row>
    <x:row r="93" ht="36" customHeight="1">
      <x:c r="A93" s="14" t="str">
        <x:v>EXEC-085</x:v>
      </x:c>
      <x:c r="B93" s="19"/>
      <x:c r="C93" s="19"/>
      <x:c r="D93" s="24"/>
      <x:c r="E93" s="25"/>
      <x:c r="F93" s="26" t="str">
        <x:f>IF(OR(C93="",E93=""),"",IF(COUNTIF($Z$3:$Z$58,C93&amp;"|"&amp;E93)=0,"",VLOOKUP(C93&amp;"|"&amp;E93,$Z$3:$AA$58,2,FALSE)))</x:f>
      </x:c>
      <x:c r="G93" s="24"/>
      <x:c r="H93" s="26" t="str">
        <x:f>IF(ISNUMBER(F93),VLOOKUP(C93,$X$3:$Y$12,2,FALSE)-F93,"")</x:f>
      </x:c>
      <x:c r="I93" s="27" t="str">
        <x:f>IF(AND(B93&lt;&gt;"",D93&lt;&gt;"",COUNT(F93:H93)=3),IF(AND(G93&gt;=0,G93=INT(G93)),IF(F93+G93=0,"Indefinida",F93/(F93+G93)),""),"")</x:f>
      </x:c>
      <x:c r="J93" s="27" t="str">
        <x:f>IF(AND(B93&lt;&gt;"",D93&lt;&gt;"",COUNT(F93:H93)=3),IF(AND(G93&gt;=0,G93=INT(G93)),F93/(F93+H93),""),"")</x:f>
      </x:c>
      <x:c r="K93" s="27" t="str">
        <x:f>IF(AND(B93&lt;&gt;"",D93&lt;&gt;"",COUNT(F93:H93)=3),IF(AND(G93&gt;=0,G93=INT(G93)),2*F93/(2*F93+G93+H93),""),"")</x:f>
      </x:c>
      <x:c r="L93" s="22"/>
    </x:row>
    <x:row r="94" ht="36" customHeight="1">
      <x:c r="A94" s="14" t="str">
        <x:v>EXEC-086</x:v>
      </x:c>
      <x:c r="B94" s="19"/>
      <x:c r="C94" s="19"/>
      <x:c r="D94" s="24"/>
      <x:c r="E94" s="25"/>
      <x:c r="F94" s="26" t="str">
        <x:f>IF(OR(C94="",E94=""),"",IF(COUNTIF($Z$3:$Z$58,C94&amp;"|"&amp;E94)=0,"",VLOOKUP(C94&amp;"|"&amp;E94,$Z$3:$AA$58,2,FALSE)))</x:f>
      </x:c>
      <x:c r="G94" s="24"/>
      <x:c r="H94" s="26" t="str">
        <x:f>IF(ISNUMBER(F94),VLOOKUP(C94,$X$3:$Y$12,2,FALSE)-F94,"")</x:f>
      </x:c>
      <x:c r="I94" s="27" t="str">
        <x:f>IF(AND(B94&lt;&gt;"",D94&lt;&gt;"",COUNT(F94:H94)=3),IF(AND(G94&gt;=0,G94=INT(G94)),IF(F94+G94=0,"Indefinida",F94/(F94+G94)),""),"")</x:f>
      </x:c>
      <x:c r="J94" s="27" t="str">
        <x:f>IF(AND(B94&lt;&gt;"",D94&lt;&gt;"",COUNT(F94:H94)=3),IF(AND(G94&gt;=0,G94=INT(G94)),F94/(F94+H94),""),"")</x:f>
      </x:c>
      <x:c r="K94" s="27" t="str">
        <x:f>IF(AND(B94&lt;&gt;"",D94&lt;&gt;"",COUNT(F94:H94)=3),IF(AND(G94&gt;=0,G94=INT(G94)),2*F94/(2*F94+G94+H94),""),"")</x:f>
      </x:c>
      <x:c r="L94" s="22"/>
    </x:row>
    <x:row r="95" ht="36" customHeight="1">
      <x:c r="A95" s="14" t="str">
        <x:v>EXEC-087</x:v>
      </x:c>
      <x:c r="B95" s="19"/>
      <x:c r="C95" s="19"/>
      <x:c r="D95" s="24"/>
      <x:c r="E95" s="25"/>
      <x:c r="F95" s="26" t="str">
        <x:f>IF(OR(C95="",E95=""),"",IF(COUNTIF($Z$3:$Z$58,C95&amp;"|"&amp;E95)=0,"",VLOOKUP(C95&amp;"|"&amp;E95,$Z$3:$AA$58,2,FALSE)))</x:f>
      </x:c>
      <x:c r="G95" s="24"/>
      <x:c r="H95" s="26" t="str">
        <x:f>IF(ISNUMBER(F95),VLOOKUP(C95,$X$3:$Y$12,2,FALSE)-F95,"")</x:f>
      </x:c>
      <x:c r="I95" s="27" t="str">
        <x:f>IF(AND(B95&lt;&gt;"",D95&lt;&gt;"",COUNT(F95:H95)=3),IF(AND(G95&gt;=0,G95=INT(G95)),IF(F95+G95=0,"Indefinida",F95/(F95+G95)),""),"")</x:f>
      </x:c>
      <x:c r="J95" s="27" t="str">
        <x:f>IF(AND(B95&lt;&gt;"",D95&lt;&gt;"",COUNT(F95:H95)=3),IF(AND(G95&gt;=0,G95=INT(G95)),F95/(F95+H95),""),"")</x:f>
      </x:c>
      <x:c r="K95" s="27" t="str">
        <x:f>IF(AND(B95&lt;&gt;"",D95&lt;&gt;"",COUNT(F95:H95)=3),IF(AND(G95&gt;=0,G95=INT(G95)),2*F95/(2*F95+G95+H95),""),"")</x:f>
      </x:c>
      <x:c r="L95" s="22"/>
    </x:row>
    <x:row r="96" ht="36" customHeight="1">
      <x:c r="A96" s="14" t="str">
        <x:v>EXEC-088</x:v>
      </x:c>
      <x:c r="B96" s="19"/>
      <x:c r="C96" s="19"/>
      <x:c r="D96" s="24"/>
      <x:c r="E96" s="25"/>
      <x:c r="F96" s="26" t="str">
        <x:f>IF(OR(C96="",E96=""),"",IF(COUNTIF($Z$3:$Z$58,C96&amp;"|"&amp;E96)=0,"",VLOOKUP(C96&amp;"|"&amp;E96,$Z$3:$AA$58,2,FALSE)))</x:f>
      </x:c>
      <x:c r="G96" s="24"/>
      <x:c r="H96" s="26" t="str">
        <x:f>IF(ISNUMBER(F96),VLOOKUP(C96,$X$3:$Y$12,2,FALSE)-F96,"")</x:f>
      </x:c>
      <x:c r="I96" s="27" t="str">
        <x:f>IF(AND(B96&lt;&gt;"",D96&lt;&gt;"",COUNT(F96:H96)=3),IF(AND(G96&gt;=0,G96=INT(G96)),IF(F96+G96=0,"Indefinida",F96/(F96+G96)),""),"")</x:f>
      </x:c>
      <x:c r="J96" s="27" t="str">
        <x:f>IF(AND(B96&lt;&gt;"",D96&lt;&gt;"",COUNT(F96:H96)=3),IF(AND(G96&gt;=0,G96=INT(G96)),F96/(F96+H96),""),"")</x:f>
      </x:c>
      <x:c r="K96" s="27" t="str">
        <x:f>IF(AND(B96&lt;&gt;"",D96&lt;&gt;"",COUNT(F96:H96)=3),IF(AND(G96&gt;=0,G96=INT(G96)),2*F96/(2*F96+G96+H96),""),"")</x:f>
      </x:c>
      <x:c r="L96" s="22"/>
    </x:row>
    <x:row r="97" ht="36" customHeight="1">
      <x:c r="A97" s="14" t="str">
        <x:v>EXEC-089</x:v>
      </x:c>
      <x:c r="B97" s="19"/>
      <x:c r="C97" s="19"/>
      <x:c r="D97" s="24"/>
      <x:c r="E97" s="25"/>
      <x:c r="F97" s="26" t="str">
        <x:f>IF(OR(C97="",E97=""),"",IF(COUNTIF($Z$3:$Z$58,C97&amp;"|"&amp;E97)=0,"",VLOOKUP(C97&amp;"|"&amp;E97,$Z$3:$AA$58,2,FALSE)))</x:f>
      </x:c>
      <x:c r="G97" s="24"/>
      <x:c r="H97" s="26" t="str">
        <x:f>IF(ISNUMBER(F97),VLOOKUP(C97,$X$3:$Y$12,2,FALSE)-F97,"")</x:f>
      </x:c>
      <x:c r="I97" s="27" t="str">
        <x:f>IF(AND(B97&lt;&gt;"",D97&lt;&gt;"",COUNT(F97:H97)=3),IF(AND(G97&gt;=0,G97=INT(G97)),IF(F97+G97=0,"Indefinida",F97/(F97+G97)),""),"")</x:f>
      </x:c>
      <x:c r="J97" s="27" t="str">
        <x:f>IF(AND(B97&lt;&gt;"",D97&lt;&gt;"",COUNT(F97:H97)=3),IF(AND(G97&gt;=0,G97=INT(G97)),F97/(F97+H97),""),"")</x:f>
      </x:c>
      <x:c r="K97" s="27" t="str">
        <x:f>IF(AND(B97&lt;&gt;"",D97&lt;&gt;"",COUNT(F97:H97)=3),IF(AND(G97&gt;=0,G97=INT(G97)),2*F97/(2*F97+G97+H97),""),"")</x:f>
      </x:c>
      <x:c r="L97" s="22"/>
    </x:row>
    <x:row r="98" ht="36" customHeight="1">
      <x:c r="A98" s="14" t="str">
        <x:v>EXEC-090</x:v>
      </x:c>
      <x:c r="B98" s="19"/>
      <x:c r="C98" s="19"/>
      <x:c r="D98" s="24"/>
      <x:c r="E98" s="25"/>
      <x:c r="F98" s="26" t="str">
        <x:f>IF(OR(C98="",E98=""),"",IF(COUNTIF($Z$3:$Z$58,C98&amp;"|"&amp;E98)=0,"",VLOOKUP(C98&amp;"|"&amp;E98,$Z$3:$AA$58,2,FALSE)))</x:f>
      </x:c>
      <x:c r="G98" s="24"/>
      <x:c r="H98" s="26" t="str">
        <x:f>IF(ISNUMBER(F98),VLOOKUP(C98,$X$3:$Y$12,2,FALSE)-F98,"")</x:f>
      </x:c>
      <x:c r="I98" s="27" t="str">
        <x:f>IF(AND(B98&lt;&gt;"",D98&lt;&gt;"",COUNT(F98:H98)=3),IF(AND(G98&gt;=0,G98=INT(G98)),IF(F98+G98=0,"Indefinida",F98/(F98+G98)),""),"")</x:f>
      </x:c>
      <x:c r="J98" s="27" t="str">
        <x:f>IF(AND(B98&lt;&gt;"",D98&lt;&gt;"",COUNT(F98:H98)=3),IF(AND(G98&gt;=0,G98=INT(G98)),F98/(F98+H98),""),"")</x:f>
      </x:c>
      <x:c r="K98" s="27" t="str">
        <x:f>IF(AND(B98&lt;&gt;"",D98&lt;&gt;"",COUNT(F98:H98)=3),IF(AND(G98&gt;=0,G98=INT(G98)),2*F98/(2*F98+G98+H98),""),"")</x:f>
      </x:c>
      <x:c r="L98" s="22"/>
    </x:row>
    <x:row r="99" ht="36" customHeight="1">
      <x:c r="A99" s="14" t="str">
        <x:v>EXEC-091</x:v>
      </x:c>
      <x:c r="B99" s="19"/>
      <x:c r="C99" s="19"/>
      <x:c r="D99" s="24"/>
      <x:c r="E99" s="25"/>
      <x:c r="F99" s="26" t="str">
        <x:f>IF(OR(C99="",E99=""),"",IF(COUNTIF($Z$3:$Z$58,C99&amp;"|"&amp;E99)=0,"",VLOOKUP(C99&amp;"|"&amp;E99,$Z$3:$AA$58,2,FALSE)))</x:f>
      </x:c>
      <x:c r="G99" s="24"/>
      <x:c r="H99" s="26" t="str">
        <x:f>IF(ISNUMBER(F99),VLOOKUP(C99,$X$3:$Y$12,2,FALSE)-F99,"")</x:f>
      </x:c>
      <x:c r="I99" s="27" t="str">
        <x:f>IF(AND(B99&lt;&gt;"",D99&lt;&gt;"",COUNT(F99:H99)=3),IF(AND(G99&gt;=0,G99=INT(G99)),IF(F99+G99=0,"Indefinida",F99/(F99+G99)),""),"")</x:f>
      </x:c>
      <x:c r="J99" s="27" t="str">
        <x:f>IF(AND(B99&lt;&gt;"",D99&lt;&gt;"",COUNT(F99:H99)=3),IF(AND(G99&gt;=0,G99=INT(G99)),F99/(F99+H99),""),"")</x:f>
      </x:c>
      <x:c r="K99" s="27" t="str">
        <x:f>IF(AND(B99&lt;&gt;"",D99&lt;&gt;"",COUNT(F99:H99)=3),IF(AND(G99&gt;=0,G99=INT(G99)),2*F99/(2*F99+G99+H99),""),"")</x:f>
      </x:c>
      <x:c r="L99" s="22"/>
    </x:row>
    <x:row r="100" ht="36" customHeight="1">
      <x:c r="A100" s="14" t="str">
        <x:v>EXEC-092</x:v>
      </x:c>
      <x:c r="B100" s="19"/>
      <x:c r="C100" s="19"/>
      <x:c r="D100" s="24"/>
      <x:c r="E100" s="25"/>
      <x:c r="F100" s="26" t="str">
        <x:f>IF(OR(C100="",E100=""),"",IF(COUNTIF($Z$3:$Z$58,C100&amp;"|"&amp;E100)=0,"",VLOOKUP(C100&amp;"|"&amp;E100,$Z$3:$AA$58,2,FALSE)))</x:f>
      </x:c>
      <x:c r="G100" s="24"/>
      <x:c r="H100" s="26" t="str">
        <x:f>IF(ISNUMBER(F100),VLOOKUP(C100,$X$3:$Y$12,2,FALSE)-F100,"")</x:f>
      </x:c>
      <x:c r="I100" s="27" t="str">
        <x:f>IF(AND(B100&lt;&gt;"",D100&lt;&gt;"",COUNT(F100:H100)=3),IF(AND(G100&gt;=0,G100=INT(G100)),IF(F100+G100=0,"Indefinida",F100/(F100+G100)),""),"")</x:f>
      </x:c>
      <x:c r="J100" s="27" t="str">
        <x:f>IF(AND(B100&lt;&gt;"",D100&lt;&gt;"",COUNT(F100:H100)=3),IF(AND(G100&gt;=0,G100=INT(G100)),F100/(F100+H100),""),"")</x:f>
      </x:c>
      <x:c r="K100" s="27" t="str">
        <x:f>IF(AND(B100&lt;&gt;"",D100&lt;&gt;"",COUNT(F100:H100)=3),IF(AND(G100&gt;=0,G100=INT(G100)),2*F100/(2*F100+G100+H100),""),"")</x:f>
      </x:c>
      <x:c r="L100" s="22"/>
    </x:row>
    <x:row r="101" ht="36" customHeight="1">
      <x:c r="A101" s="14" t="str">
        <x:v>EXEC-093</x:v>
      </x:c>
      <x:c r="B101" s="19"/>
      <x:c r="C101" s="19"/>
      <x:c r="D101" s="24"/>
      <x:c r="E101" s="25"/>
      <x:c r="F101" s="26" t="str">
        <x:f>IF(OR(C101="",E101=""),"",IF(COUNTIF($Z$3:$Z$58,C101&amp;"|"&amp;E101)=0,"",VLOOKUP(C101&amp;"|"&amp;E101,$Z$3:$AA$58,2,FALSE)))</x:f>
      </x:c>
      <x:c r="G101" s="24"/>
      <x:c r="H101" s="26" t="str">
        <x:f>IF(ISNUMBER(F101),VLOOKUP(C101,$X$3:$Y$12,2,FALSE)-F101,"")</x:f>
      </x:c>
      <x:c r="I101" s="27" t="str">
        <x:f>IF(AND(B101&lt;&gt;"",D101&lt;&gt;"",COUNT(F101:H101)=3),IF(AND(G101&gt;=0,G101=INT(G101)),IF(F101+G101=0,"Indefinida",F101/(F101+G101)),""),"")</x:f>
      </x:c>
      <x:c r="J101" s="27" t="str">
        <x:f>IF(AND(B101&lt;&gt;"",D101&lt;&gt;"",COUNT(F101:H101)=3),IF(AND(G101&gt;=0,G101=INT(G101)),F101/(F101+H101),""),"")</x:f>
      </x:c>
      <x:c r="K101" s="27" t="str">
        <x:f>IF(AND(B101&lt;&gt;"",D101&lt;&gt;"",COUNT(F101:H101)=3),IF(AND(G101&gt;=0,G101=INT(G101)),2*F101/(2*F101+G101+H101),""),"")</x:f>
      </x:c>
      <x:c r="L101" s="22"/>
    </x:row>
    <x:row r="102" ht="36" customHeight="1">
      <x:c r="A102" s="14" t="str">
        <x:v>EXEC-094</x:v>
      </x:c>
      <x:c r="B102" s="19"/>
      <x:c r="C102" s="19"/>
      <x:c r="D102" s="24"/>
      <x:c r="E102" s="25"/>
      <x:c r="F102" s="26" t="str">
        <x:f>IF(OR(C102="",E102=""),"",IF(COUNTIF($Z$3:$Z$58,C102&amp;"|"&amp;E102)=0,"",VLOOKUP(C102&amp;"|"&amp;E102,$Z$3:$AA$58,2,FALSE)))</x:f>
      </x:c>
      <x:c r="G102" s="24"/>
      <x:c r="H102" s="26" t="str">
        <x:f>IF(ISNUMBER(F102),VLOOKUP(C102,$X$3:$Y$12,2,FALSE)-F102,"")</x:f>
      </x:c>
      <x:c r="I102" s="27" t="str">
        <x:f>IF(AND(B102&lt;&gt;"",D102&lt;&gt;"",COUNT(F102:H102)=3),IF(AND(G102&gt;=0,G102=INT(G102)),IF(F102+G102=0,"Indefinida",F102/(F102+G102)),""),"")</x:f>
      </x:c>
      <x:c r="J102" s="27" t="str">
        <x:f>IF(AND(B102&lt;&gt;"",D102&lt;&gt;"",COUNT(F102:H102)=3),IF(AND(G102&gt;=0,G102=INT(G102)),F102/(F102+H102),""),"")</x:f>
      </x:c>
      <x:c r="K102" s="27" t="str">
        <x:f>IF(AND(B102&lt;&gt;"",D102&lt;&gt;"",COUNT(F102:H102)=3),IF(AND(G102&gt;=0,G102=INT(G102)),2*F102/(2*F102+G102+H102),""),"")</x:f>
      </x:c>
      <x:c r="L102" s="22"/>
    </x:row>
    <x:row r="103" ht="36" customHeight="1">
      <x:c r="A103" s="14" t="str">
        <x:v>EXEC-095</x:v>
      </x:c>
      <x:c r="B103" s="19"/>
      <x:c r="C103" s="19"/>
      <x:c r="D103" s="24"/>
      <x:c r="E103" s="25"/>
      <x:c r="F103" s="26" t="str">
        <x:f>IF(OR(C103="",E103=""),"",IF(COUNTIF($Z$3:$Z$58,C103&amp;"|"&amp;E103)=0,"",VLOOKUP(C103&amp;"|"&amp;E103,$Z$3:$AA$58,2,FALSE)))</x:f>
      </x:c>
      <x:c r="G103" s="24"/>
      <x:c r="H103" s="26" t="str">
        <x:f>IF(ISNUMBER(F103),VLOOKUP(C103,$X$3:$Y$12,2,FALSE)-F103,"")</x:f>
      </x:c>
      <x:c r="I103" s="27" t="str">
        <x:f>IF(AND(B103&lt;&gt;"",D103&lt;&gt;"",COUNT(F103:H103)=3),IF(AND(G103&gt;=0,G103=INT(G103)),IF(F103+G103=0,"Indefinida",F103/(F103+G103)),""),"")</x:f>
      </x:c>
      <x:c r="J103" s="27" t="str">
        <x:f>IF(AND(B103&lt;&gt;"",D103&lt;&gt;"",COUNT(F103:H103)=3),IF(AND(G103&gt;=0,G103=INT(G103)),F103/(F103+H103),""),"")</x:f>
      </x:c>
      <x:c r="K103" s="27" t="str">
        <x:f>IF(AND(B103&lt;&gt;"",D103&lt;&gt;"",COUNT(F103:H103)=3),IF(AND(G103&gt;=0,G103=INT(G103)),2*F103/(2*F103+G103+H103),""),"")</x:f>
      </x:c>
      <x:c r="L103" s="22"/>
    </x:row>
    <x:row r="104" ht="36" customHeight="1">
      <x:c r="A104" s="14" t="str">
        <x:v>EXEC-096</x:v>
      </x:c>
      <x:c r="B104" s="19"/>
      <x:c r="C104" s="19"/>
      <x:c r="D104" s="24"/>
      <x:c r="E104" s="25"/>
      <x:c r="F104" s="26" t="str">
        <x:f>IF(OR(C104="",E104=""),"",IF(COUNTIF($Z$3:$Z$58,C104&amp;"|"&amp;E104)=0,"",VLOOKUP(C104&amp;"|"&amp;E104,$Z$3:$AA$58,2,FALSE)))</x:f>
      </x:c>
      <x:c r="G104" s="24"/>
      <x:c r="H104" s="26" t="str">
        <x:f>IF(ISNUMBER(F104),VLOOKUP(C104,$X$3:$Y$12,2,FALSE)-F104,"")</x:f>
      </x:c>
      <x:c r="I104" s="27" t="str">
        <x:f>IF(AND(B104&lt;&gt;"",D104&lt;&gt;"",COUNT(F104:H104)=3),IF(AND(G104&gt;=0,G104=INT(G104)),IF(F104+G104=0,"Indefinida",F104/(F104+G104)),""),"")</x:f>
      </x:c>
      <x:c r="J104" s="27" t="str">
        <x:f>IF(AND(B104&lt;&gt;"",D104&lt;&gt;"",COUNT(F104:H104)=3),IF(AND(G104&gt;=0,G104=INT(G104)),F104/(F104+H104),""),"")</x:f>
      </x:c>
      <x:c r="K104" s="27" t="str">
        <x:f>IF(AND(B104&lt;&gt;"",D104&lt;&gt;"",COUNT(F104:H104)=3),IF(AND(G104&gt;=0,G104=INT(G104)),2*F104/(2*F104+G104+H104),""),"")</x:f>
      </x:c>
      <x:c r="L104" s="22"/>
    </x:row>
    <x:row r="105" ht="36" customHeight="1">
      <x:c r="A105" s="14" t="str">
        <x:v>EXEC-097</x:v>
      </x:c>
      <x:c r="B105" s="19"/>
      <x:c r="C105" s="19"/>
      <x:c r="D105" s="24"/>
      <x:c r="E105" s="25"/>
      <x:c r="F105" s="26" t="str">
        <x:f>IF(OR(C105="",E105=""),"",IF(COUNTIF($Z$3:$Z$58,C105&amp;"|"&amp;E105)=0,"",VLOOKUP(C105&amp;"|"&amp;E105,$Z$3:$AA$58,2,FALSE)))</x:f>
      </x:c>
      <x:c r="G105" s="24"/>
      <x:c r="H105" s="26" t="str">
        <x:f>IF(ISNUMBER(F105),VLOOKUP(C105,$X$3:$Y$12,2,FALSE)-F105,"")</x:f>
      </x:c>
      <x:c r="I105" s="27" t="str">
        <x:f>IF(AND(B105&lt;&gt;"",D105&lt;&gt;"",COUNT(F105:H105)=3),IF(AND(G105&gt;=0,G105=INT(G105)),IF(F105+G105=0,"Indefinida",F105/(F105+G105)),""),"")</x:f>
      </x:c>
      <x:c r="J105" s="27" t="str">
        <x:f>IF(AND(B105&lt;&gt;"",D105&lt;&gt;"",COUNT(F105:H105)=3),IF(AND(G105&gt;=0,G105=INT(G105)),F105/(F105+H105),""),"")</x:f>
      </x:c>
      <x:c r="K105" s="27" t="str">
        <x:f>IF(AND(B105&lt;&gt;"",D105&lt;&gt;"",COUNT(F105:H105)=3),IF(AND(G105&gt;=0,G105=INT(G105)),2*F105/(2*F105+G105+H105),""),"")</x:f>
      </x:c>
      <x:c r="L105" s="22"/>
    </x:row>
    <x:row r="106" ht="36" customHeight="1">
      <x:c r="A106" s="14" t="str">
        <x:v>EXEC-098</x:v>
      </x:c>
      <x:c r="B106" s="19"/>
      <x:c r="C106" s="19"/>
      <x:c r="D106" s="24"/>
      <x:c r="E106" s="25"/>
      <x:c r="F106" s="26" t="str">
        <x:f>IF(OR(C106="",E106=""),"",IF(COUNTIF($Z$3:$Z$58,C106&amp;"|"&amp;E106)=0,"",VLOOKUP(C106&amp;"|"&amp;E106,$Z$3:$AA$58,2,FALSE)))</x:f>
      </x:c>
      <x:c r="G106" s="24"/>
      <x:c r="H106" s="26" t="str">
        <x:f>IF(ISNUMBER(F106),VLOOKUP(C106,$X$3:$Y$12,2,FALSE)-F106,"")</x:f>
      </x:c>
      <x:c r="I106" s="27" t="str">
        <x:f>IF(AND(B106&lt;&gt;"",D106&lt;&gt;"",COUNT(F106:H106)=3),IF(AND(G106&gt;=0,G106=INT(G106)),IF(F106+G106=0,"Indefinida",F106/(F106+G106)),""),"")</x:f>
      </x:c>
      <x:c r="J106" s="27" t="str">
        <x:f>IF(AND(B106&lt;&gt;"",D106&lt;&gt;"",COUNT(F106:H106)=3),IF(AND(G106&gt;=0,G106=INT(G106)),F106/(F106+H106),""),"")</x:f>
      </x:c>
      <x:c r="K106" s="27" t="str">
        <x:f>IF(AND(B106&lt;&gt;"",D106&lt;&gt;"",COUNT(F106:H106)=3),IF(AND(G106&gt;=0,G106=INT(G106)),2*F106/(2*F106+G106+H106),""),"")</x:f>
      </x:c>
      <x:c r="L106" s="22"/>
    </x:row>
    <x:row r="107" ht="36" customHeight="1">
      <x:c r="A107" s="14" t="str">
        <x:v>EXEC-099</x:v>
      </x:c>
      <x:c r="B107" s="19"/>
      <x:c r="C107" s="19"/>
      <x:c r="D107" s="24"/>
      <x:c r="E107" s="25"/>
      <x:c r="F107" s="26" t="str">
        <x:f>IF(OR(C107="",E107=""),"",IF(COUNTIF($Z$3:$Z$58,C107&amp;"|"&amp;E107)=0,"",VLOOKUP(C107&amp;"|"&amp;E107,$Z$3:$AA$58,2,FALSE)))</x:f>
      </x:c>
      <x:c r="G107" s="24"/>
      <x:c r="H107" s="26" t="str">
        <x:f>IF(ISNUMBER(F107),VLOOKUP(C107,$X$3:$Y$12,2,FALSE)-F107,"")</x:f>
      </x:c>
      <x:c r="I107" s="27" t="str">
        <x:f>IF(AND(B107&lt;&gt;"",D107&lt;&gt;"",COUNT(F107:H107)=3),IF(AND(G107&gt;=0,G107=INT(G107)),IF(F107+G107=0,"Indefinida",F107/(F107+G107)),""),"")</x:f>
      </x:c>
      <x:c r="J107" s="27" t="str">
        <x:f>IF(AND(B107&lt;&gt;"",D107&lt;&gt;"",COUNT(F107:H107)=3),IF(AND(G107&gt;=0,G107=INT(G107)),F107/(F107+H107),""),"")</x:f>
      </x:c>
      <x:c r="K107" s="27" t="str">
        <x:f>IF(AND(B107&lt;&gt;"",D107&lt;&gt;"",COUNT(F107:H107)=3),IF(AND(G107&gt;=0,G107=INT(G107)),2*F107/(2*F107+G107+H107),""),"")</x:f>
      </x:c>
      <x:c r="L107" s="22"/>
    </x:row>
    <x:row r="108" ht="36" customHeight="1">
      <x:c r="A108" s="14" t="str">
        <x:v>EXEC-100</x:v>
      </x:c>
      <x:c r="B108" s="19"/>
      <x:c r="C108" s="19"/>
      <x:c r="D108" s="24"/>
      <x:c r="E108" s="25"/>
      <x:c r="F108" s="26" t="str">
        <x:f>IF(OR(C108="",E108=""),"",IF(COUNTIF($Z$3:$Z$58,C108&amp;"|"&amp;E108)=0,"",VLOOKUP(C108&amp;"|"&amp;E108,$Z$3:$AA$58,2,FALSE)))</x:f>
      </x:c>
      <x:c r="G108" s="24"/>
      <x:c r="H108" s="26" t="str">
        <x:f>IF(ISNUMBER(F108),VLOOKUP(C108,$X$3:$Y$12,2,FALSE)-F108,"")</x:f>
      </x:c>
      <x:c r="I108" s="27" t="str">
        <x:f>IF(AND(B108&lt;&gt;"",D108&lt;&gt;"",COUNT(F108:H108)=3),IF(AND(G108&gt;=0,G108=INT(G108)),IF(F108+G108=0,"Indefinida",F108/(F108+G108)),""),"")</x:f>
      </x:c>
      <x:c r="J108" s="27" t="str">
        <x:f>IF(AND(B108&lt;&gt;"",D108&lt;&gt;"",COUNT(F108:H108)=3),IF(AND(G108&gt;=0,G108=INT(G108)),F108/(F108+H108),""),"")</x:f>
      </x:c>
      <x:c r="K108" s="27" t="str">
        <x:f>IF(AND(B108&lt;&gt;"",D108&lt;&gt;"",COUNT(F108:H108)=3),IF(AND(G108&gt;=0,G108=INT(G108)),2*F108/(2*F108+G108+H108),""),"")</x:f>
      </x:c>
      <x:c r="L108" s="22"/>
    </x:row>
    <x:row r="109" ht="36" customHeight="1">
      <x:c r="A109" s="14" t="str">
        <x:v>EXEC-101</x:v>
      </x:c>
      <x:c r="B109" s="19"/>
      <x:c r="C109" s="19"/>
      <x:c r="D109" s="24"/>
      <x:c r="E109" s="25"/>
      <x:c r="F109" s="26" t="str">
        <x:f>IF(OR(C109="",E109=""),"",IF(COUNTIF($Z$3:$Z$58,C109&amp;"|"&amp;E109)=0,"",VLOOKUP(C109&amp;"|"&amp;E109,$Z$3:$AA$58,2,FALSE)))</x:f>
      </x:c>
      <x:c r="G109" s="24"/>
      <x:c r="H109" s="26" t="str">
        <x:f>IF(ISNUMBER(F109),VLOOKUP(C109,$X$3:$Y$12,2,FALSE)-F109,"")</x:f>
      </x:c>
      <x:c r="I109" s="27" t="str">
        <x:f>IF(AND(B109&lt;&gt;"",D109&lt;&gt;"",COUNT(F109:H109)=3),IF(AND(G109&gt;=0,G109=INT(G109)),IF(F109+G109=0,"Indefinida",F109/(F109+G109)),""),"")</x:f>
      </x:c>
      <x:c r="J109" s="27" t="str">
        <x:f>IF(AND(B109&lt;&gt;"",D109&lt;&gt;"",COUNT(F109:H109)=3),IF(AND(G109&gt;=0,G109=INT(G109)),F109/(F109+H109),""),"")</x:f>
      </x:c>
      <x:c r="K109" s="27" t="str">
        <x:f>IF(AND(B109&lt;&gt;"",D109&lt;&gt;"",COUNT(F109:H109)=3),IF(AND(G109&gt;=0,G109=INT(G109)),2*F109/(2*F109+G109+H109),""),"")</x:f>
      </x:c>
      <x:c r="L109" s="22"/>
    </x:row>
    <x:row r="110" ht="36" customHeight="1">
      <x:c r="A110" s="14" t="str">
        <x:v>EXEC-102</x:v>
      </x:c>
      <x:c r="B110" s="19"/>
      <x:c r="C110" s="19"/>
      <x:c r="D110" s="24"/>
      <x:c r="E110" s="25"/>
      <x:c r="F110" s="26" t="str">
        <x:f>IF(OR(C110="",E110=""),"",IF(COUNTIF($Z$3:$Z$58,C110&amp;"|"&amp;E110)=0,"",VLOOKUP(C110&amp;"|"&amp;E110,$Z$3:$AA$58,2,FALSE)))</x:f>
      </x:c>
      <x:c r="G110" s="24"/>
      <x:c r="H110" s="26" t="str">
        <x:f>IF(ISNUMBER(F110),VLOOKUP(C110,$X$3:$Y$12,2,FALSE)-F110,"")</x:f>
      </x:c>
      <x:c r="I110" s="27" t="str">
        <x:f>IF(AND(B110&lt;&gt;"",D110&lt;&gt;"",COUNT(F110:H110)=3),IF(AND(G110&gt;=0,G110=INT(G110)),IF(F110+G110=0,"Indefinida",F110/(F110+G110)),""),"")</x:f>
      </x:c>
      <x:c r="J110" s="27" t="str">
        <x:f>IF(AND(B110&lt;&gt;"",D110&lt;&gt;"",COUNT(F110:H110)=3),IF(AND(G110&gt;=0,G110=INT(G110)),F110/(F110+H110),""),"")</x:f>
      </x:c>
      <x:c r="K110" s="27" t="str">
        <x:f>IF(AND(B110&lt;&gt;"",D110&lt;&gt;"",COUNT(F110:H110)=3),IF(AND(G110&gt;=0,G110=INT(G110)),2*F110/(2*F110+G110+H110),""),"")</x:f>
      </x:c>
      <x:c r="L110" s="22"/>
    </x:row>
    <x:row r="111" ht="36" customHeight="1">
      <x:c r="A111" s="14" t="str">
        <x:v>EXEC-103</x:v>
      </x:c>
      <x:c r="B111" s="19"/>
      <x:c r="C111" s="19"/>
      <x:c r="D111" s="24"/>
      <x:c r="E111" s="25"/>
      <x:c r="F111" s="26" t="str">
        <x:f>IF(OR(C111="",E111=""),"",IF(COUNTIF($Z$3:$Z$58,C111&amp;"|"&amp;E111)=0,"",VLOOKUP(C111&amp;"|"&amp;E111,$Z$3:$AA$58,2,FALSE)))</x:f>
      </x:c>
      <x:c r="G111" s="24"/>
      <x:c r="H111" s="26" t="str">
        <x:f>IF(ISNUMBER(F111),VLOOKUP(C111,$X$3:$Y$12,2,FALSE)-F111,"")</x:f>
      </x:c>
      <x:c r="I111" s="27" t="str">
        <x:f>IF(AND(B111&lt;&gt;"",D111&lt;&gt;"",COUNT(F111:H111)=3),IF(AND(G111&gt;=0,G111=INT(G111)),IF(F111+G111=0,"Indefinida",F111/(F111+G111)),""),"")</x:f>
      </x:c>
      <x:c r="J111" s="27" t="str">
        <x:f>IF(AND(B111&lt;&gt;"",D111&lt;&gt;"",COUNT(F111:H111)=3),IF(AND(G111&gt;=0,G111=INT(G111)),F111/(F111+H111),""),"")</x:f>
      </x:c>
      <x:c r="K111" s="27" t="str">
        <x:f>IF(AND(B111&lt;&gt;"",D111&lt;&gt;"",COUNT(F111:H111)=3),IF(AND(G111&gt;=0,G111=INT(G111)),2*F111/(2*F111+G111+H111),""),"")</x:f>
      </x:c>
      <x:c r="L111" s="22"/>
    </x:row>
    <x:row r="112" ht="36" customHeight="1">
      <x:c r="A112" s="14" t="str">
        <x:v>EXEC-104</x:v>
      </x:c>
      <x:c r="B112" s="19"/>
      <x:c r="C112" s="19"/>
      <x:c r="D112" s="24"/>
      <x:c r="E112" s="25"/>
      <x:c r="F112" s="26" t="str">
        <x:f>IF(OR(C112="",E112=""),"",IF(COUNTIF($Z$3:$Z$58,C112&amp;"|"&amp;E112)=0,"",VLOOKUP(C112&amp;"|"&amp;E112,$Z$3:$AA$58,2,FALSE)))</x:f>
      </x:c>
      <x:c r="G112" s="24"/>
      <x:c r="H112" s="26" t="str">
        <x:f>IF(ISNUMBER(F112),VLOOKUP(C112,$X$3:$Y$12,2,FALSE)-F112,"")</x:f>
      </x:c>
      <x:c r="I112" s="27" t="str">
        <x:f>IF(AND(B112&lt;&gt;"",D112&lt;&gt;"",COUNT(F112:H112)=3),IF(AND(G112&gt;=0,G112=INT(G112)),IF(F112+G112=0,"Indefinida",F112/(F112+G112)),""),"")</x:f>
      </x:c>
      <x:c r="J112" s="27" t="str">
        <x:f>IF(AND(B112&lt;&gt;"",D112&lt;&gt;"",COUNT(F112:H112)=3),IF(AND(G112&gt;=0,G112=INT(G112)),F112/(F112+H112),""),"")</x:f>
      </x:c>
      <x:c r="K112" s="27" t="str">
        <x:f>IF(AND(B112&lt;&gt;"",D112&lt;&gt;"",COUNT(F112:H112)=3),IF(AND(G112&gt;=0,G112=INT(G112)),2*F112/(2*F112+G112+H112),""),"")</x:f>
      </x:c>
      <x:c r="L112" s="22"/>
    </x:row>
    <x:row r="113" ht="36" customHeight="1">
      <x:c r="A113" s="14" t="str">
        <x:v>EXEC-105</x:v>
      </x:c>
      <x:c r="B113" s="19"/>
      <x:c r="C113" s="19"/>
      <x:c r="D113" s="24"/>
      <x:c r="E113" s="25"/>
      <x:c r="F113" s="26" t="str">
        <x:f>IF(OR(C113="",E113=""),"",IF(COUNTIF($Z$3:$Z$58,C113&amp;"|"&amp;E113)=0,"",VLOOKUP(C113&amp;"|"&amp;E113,$Z$3:$AA$58,2,FALSE)))</x:f>
      </x:c>
      <x:c r="G113" s="24"/>
      <x:c r="H113" s="26" t="str">
        <x:f>IF(ISNUMBER(F113),VLOOKUP(C113,$X$3:$Y$12,2,FALSE)-F113,"")</x:f>
      </x:c>
      <x:c r="I113" s="27" t="str">
        <x:f>IF(AND(B113&lt;&gt;"",D113&lt;&gt;"",COUNT(F113:H113)=3),IF(AND(G113&gt;=0,G113=INT(G113)),IF(F113+G113=0,"Indefinida",F113/(F113+G113)),""),"")</x:f>
      </x:c>
      <x:c r="J113" s="27" t="str">
        <x:f>IF(AND(B113&lt;&gt;"",D113&lt;&gt;"",COUNT(F113:H113)=3),IF(AND(G113&gt;=0,G113=INT(G113)),F113/(F113+H113),""),"")</x:f>
      </x:c>
      <x:c r="K113" s="27" t="str">
        <x:f>IF(AND(B113&lt;&gt;"",D113&lt;&gt;"",COUNT(F113:H113)=3),IF(AND(G113&gt;=0,G113=INT(G113)),2*F113/(2*F113+G113+H113),""),"")</x:f>
      </x:c>
      <x:c r="L113" s="22"/>
    </x:row>
    <x:row r="114" ht="36" customHeight="1">
      <x:c r="A114" s="14" t="str">
        <x:v>EXEC-106</x:v>
      </x:c>
      <x:c r="B114" s="19"/>
      <x:c r="C114" s="19"/>
      <x:c r="D114" s="24"/>
      <x:c r="E114" s="25"/>
      <x:c r="F114" s="26" t="str">
        <x:f>IF(OR(C114="",E114=""),"",IF(COUNTIF($Z$3:$Z$58,C114&amp;"|"&amp;E114)=0,"",VLOOKUP(C114&amp;"|"&amp;E114,$Z$3:$AA$58,2,FALSE)))</x:f>
      </x:c>
      <x:c r="G114" s="24"/>
      <x:c r="H114" s="26" t="str">
        <x:f>IF(ISNUMBER(F114),VLOOKUP(C114,$X$3:$Y$12,2,FALSE)-F114,"")</x:f>
      </x:c>
      <x:c r="I114" s="27" t="str">
        <x:f>IF(AND(B114&lt;&gt;"",D114&lt;&gt;"",COUNT(F114:H114)=3),IF(AND(G114&gt;=0,G114=INT(G114)),IF(F114+G114=0,"Indefinida",F114/(F114+G114)),""),"")</x:f>
      </x:c>
      <x:c r="J114" s="27" t="str">
        <x:f>IF(AND(B114&lt;&gt;"",D114&lt;&gt;"",COUNT(F114:H114)=3),IF(AND(G114&gt;=0,G114=INT(G114)),F114/(F114+H114),""),"")</x:f>
      </x:c>
      <x:c r="K114" s="27" t="str">
        <x:f>IF(AND(B114&lt;&gt;"",D114&lt;&gt;"",COUNT(F114:H114)=3),IF(AND(G114&gt;=0,G114=INT(G114)),2*F114/(2*F114+G114+H114),""),"")</x:f>
      </x:c>
      <x:c r="L114" s="22"/>
    </x:row>
    <x:row r="115" ht="36" customHeight="1">
      <x:c r="A115" s="14" t="str">
        <x:v>EXEC-107</x:v>
      </x:c>
      <x:c r="B115" s="19"/>
      <x:c r="C115" s="19"/>
      <x:c r="D115" s="24"/>
      <x:c r="E115" s="25"/>
      <x:c r="F115" s="26" t="str">
        <x:f>IF(OR(C115="",E115=""),"",IF(COUNTIF($Z$3:$Z$58,C115&amp;"|"&amp;E115)=0,"",VLOOKUP(C115&amp;"|"&amp;E115,$Z$3:$AA$58,2,FALSE)))</x:f>
      </x:c>
      <x:c r="G115" s="24"/>
      <x:c r="H115" s="26" t="str">
        <x:f>IF(ISNUMBER(F115),VLOOKUP(C115,$X$3:$Y$12,2,FALSE)-F115,"")</x:f>
      </x:c>
      <x:c r="I115" s="27" t="str">
        <x:f>IF(AND(B115&lt;&gt;"",D115&lt;&gt;"",COUNT(F115:H115)=3),IF(AND(G115&gt;=0,G115=INT(G115)),IF(F115+G115=0,"Indefinida",F115/(F115+G115)),""),"")</x:f>
      </x:c>
      <x:c r="J115" s="27" t="str">
        <x:f>IF(AND(B115&lt;&gt;"",D115&lt;&gt;"",COUNT(F115:H115)=3),IF(AND(G115&gt;=0,G115=INT(G115)),F115/(F115+H115),""),"")</x:f>
      </x:c>
      <x:c r="K115" s="27" t="str">
        <x:f>IF(AND(B115&lt;&gt;"",D115&lt;&gt;"",COUNT(F115:H115)=3),IF(AND(G115&gt;=0,G115=INT(G115)),2*F115/(2*F115+G115+H115),""),"")</x:f>
      </x:c>
      <x:c r="L115" s="22"/>
    </x:row>
    <x:row r="116" ht="36" customHeight="1">
      <x:c r="A116" s="14" t="str">
        <x:v>EXEC-108</x:v>
      </x:c>
      <x:c r="B116" s="19"/>
      <x:c r="C116" s="19"/>
      <x:c r="D116" s="24"/>
      <x:c r="E116" s="25"/>
      <x:c r="F116" s="26" t="str">
        <x:f>IF(OR(C116="",E116=""),"",IF(COUNTIF($Z$3:$Z$58,C116&amp;"|"&amp;E116)=0,"",VLOOKUP(C116&amp;"|"&amp;E116,$Z$3:$AA$58,2,FALSE)))</x:f>
      </x:c>
      <x:c r="G116" s="24"/>
      <x:c r="H116" s="26" t="str">
        <x:f>IF(ISNUMBER(F116),VLOOKUP(C116,$X$3:$Y$12,2,FALSE)-F116,"")</x:f>
      </x:c>
      <x:c r="I116" s="27" t="str">
        <x:f>IF(AND(B116&lt;&gt;"",D116&lt;&gt;"",COUNT(F116:H116)=3),IF(AND(G116&gt;=0,G116=INT(G116)),IF(F116+G116=0,"Indefinida",F116/(F116+G116)),""),"")</x:f>
      </x:c>
      <x:c r="J116" s="27" t="str">
        <x:f>IF(AND(B116&lt;&gt;"",D116&lt;&gt;"",COUNT(F116:H116)=3),IF(AND(G116&gt;=0,G116=INT(G116)),F116/(F116+H116),""),"")</x:f>
      </x:c>
      <x:c r="K116" s="27" t="str">
        <x:f>IF(AND(B116&lt;&gt;"",D116&lt;&gt;"",COUNT(F116:H116)=3),IF(AND(G116&gt;=0,G116=INT(G116)),2*F116/(2*F116+G116+H116),""),"")</x:f>
      </x:c>
      <x:c r="L116" s="22"/>
    </x:row>
    <x:row r="117" ht="36" customHeight="1">
      <x:c r="A117" s="14" t="str">
        <x:v>EXEC-109</x:v>
      </x:c>
      <x:c r="B117" s="19"/>
      <x:c r="C117" s="19"/>
      <x:c r="D117" s="24"/>
      <x:c r="E117" s="25"/>
      <x:c r="F117" s="26" t="str">
        <x:f>IF(OR(C117="",E117=""),"",IF(COUNTIF($Z$3:$Z$58,C117&amp;"|"&amp;E117)=0,"",VLOOKUP(C117&amp;"|"&amp;E117,$Z$3:$AA$58,2,FALSE)))</x:f>
      </x:c>
      <x:c r="G117" s="24"/>
      <x:c r="H117" s="26" t="str">
        <x:f>IF(ISNUMBER(F117),VLOOKUP(C117,$X$3:$Y$12,2,FALSE)-F117,"")</x:f>
      </x:c>
      <x:c r="I117" s="27" t="str">
        <x:f>IF(AND(B117&lt;&gt;"",D117&lt;&gt;"",COUNT(F117:H117)=3),IF(AND(G117&gt;=0,G117=INT(G117)),IF(F117+G117=0,"Indefinida",F117/(F117+G117)),""),"")</x:f>
      </x:c>
      <x:c r="J117" s="27" t="str">
        <x:f>IF(AND(B117&lt;&gt;"",D117&lt;&gt;"",COUNT(F117:H117)=3),IF(AND(G117&gt;=0,G117=INT(G117)),F117/(F117+H117),""),"")</x:f>
      </x:c>
      <x:c r="K117" s="27" t="str">
        <x:f>IF(AND(B117&lt;&gt;"",D117&lt;&gt;"",COUNT(F117:H117)=3),IF(AND(G117&gt;=0,G117=INT(G117)),2*F117/(2*F117+G117+H117),""),"")</x:f>
      </x:c>
      <x:c r="L117" s="22"/>
    </x:row>
    <x:row r="118" ht="36" customHeight="1">
      <x:c r="A118" s="14" t="str">
        <x:v>EXEC-110</x:v>
      </x:c>
      <x:c r="B118" s="19"/>
      <x:c r="C118" s="19"/>
      <x:c r="D118" s="24"/>
      <x:c r="E118" s="25"/>
      <x:c r="F118" s="26" t="str">
        <x:f>IF(OR(C118="",E118=""),"",IF(COUNTIF($Z$3:$Z$58,C118&amp;"|"&amp;E118)=0,"",VLOOKUP(C118&amp;"|"&amp;E118,$Z$3:$AA$58,2,FALSE)))</x:f>
      </x:c>
      <x:c r="G118" s="24"/>
      <x:c r="H118" s="26" t="str">
        <x:f>IF(ISNUMBER(F118),VLOOKUP(C118,$X$3:$Y$12,2,FALSE)-F118,"")</x:f>
      </x:c>
      <x:c r="I118" s="27" t="str">
        <x:f>IF(AND(B118&lt;&gt;"",D118&lt;&gt;"",COUNT(F118:H118)=3),IF(AND(G118&gt;=0,G118=INT(G118)),IF(F118+G118=0,"Indefinida",F118/(F118+G118)),""),"")</x:f>
      </x:c>
      <x:c r="J118" s="27" t="str">
        <x:f>IF(AND(B118&lt;&gt;"",D118&lt;&gt;"",COUNT(F118:H118)=3),IF(AND(G118&gt;=0,G118=INT(G118)),F118/(F118+H118),""),"")</x:f>
      </x:c>
      <x:c r="K118" s="27" t="str">
        <x:f>IF(AND(B118&lt;&gt;"",D118&lt;&gt;"",COUNT(F118:H118)=3),IF(AND(G118&gt;=0,G118=INT(G118)),2*F118/(2*F118+G118+H118),""),"")</x:f>
      </x:c>
      <x:c r="L118" s="22"/>
    </x:row>
    <x:row r="119" ht="36" customHeight="1">
      <x:c r="A119" s="14" t="str">
        <x:v>EXEC-111</x:v>
      </x:c>
      <x:c r="B119" s="19"/>
      <x:c r="C119" s="19"/>
      <x:c r="D119" s="24"/>
      <x:c r="E119" s="25"/>
      <x:c r="F119" s="26" t="str">
        <x:f>IF(OR(C119="",E119=""),"",IF(COUNTIF($Z$3:$Z$58,C119&amp;"|"&amp;E119)=0,"",VLOOKUP(C119&amp;"|"&amp;E119,$Z$3:$AA$58,2,FALSE)))</x:f>
      </x:c>
      <x:c r="G119" s="24"/>
      <x:c r="H119" s="26" t="str">
        <x:f>IF(ISNUMBER(F119),VLOOKUP(C119,$X$3:$Y$12,2,FALSE)-F119,"")</x:f>
      </x:c>
      <x:c r="I119" s="27" t="str">
        <x:f>IF(AND(B119&lt;&gt;"",D119&lt;&gt;"",COUNT(F119:H119)=3),IF(AND(G119&gt;=0,G119=INT(G119)),IF(F119+G119=0,"Indefinida",F119/(F119+G119)),""),"")</x:f>
      </x:c>
      <x:c r="J119" s="27" t="str">
        <x:f>IF(AND(B119&lt;&gt;"",D119&lt;&gt;"",COUNT(F119:H119)=3),IF(AND(G119&gt;=0,G119=INT(G119)),F119/(F119+H119),""),"")</x:f>
      </x:c>
      <x:c r="K119" s="27" t="str">
        <x:f>IF(AND(B119&lt;&gt;"",D119&lt;&gt;"",COUNT(F119:H119)=3),IF(AND(G119&gt;=0,G119=INT(G119)),2*F119/(2*F119+G119+H119),""),"")</x:f>
      </x:c>
      <x:c r="L119" s="22"/>
    </x:row>
    <x:row r="120" ht="36" customHeight="1">
      <x:c r="A120" s="14" t="str">
        <x:v>EXEC-112</x:v>
      </x:c>
      <x:c r="B120" s="19"/>
      <x:c r="C120" s="19"/>
      <x:c r="D120" s="24"/>
      <x:c r="E120" s="25"/>
      <x:c r="F120" s="26" t="str">
        <x:f>IF(OR(C120="",E120=""),"",IF(COUNTIF($Z$3:$Z$58,C120&amp;"|"&amp;E120)=0,"",VLOOKUP(C120&amp;"|"&amp;E120,$Z$3:$AA$58,2,FALSE)))</x:f>
      </x:c>
      <x:c r="G120" s="24"/>
      <x:c r="H120" s="26" t="str">
        <x:f>IF(ISNUMBER(F120),VLOOKUP(C120,$X$3:$Y$12,2,FALSE)-F120,"")</x:f>
      </x:c>
      <x:c r="I120" s="27" t="str">
        <x:f>IF(AND(B120&lt;&gt;"",D120&lt;&gt;"",COUNT(F120:H120)=3),IF(AND(G120&gt;=0,G120=INT(G120)),IF(F120+G120=0,"Indefinida",F120/(F120+G120)),""),"")</x:f>
      </x:c>
      <x:c r="J120" s="27" t="str">
        <x:f>IF(AND(B120&lt;&gt;"",D120&lt;&gt;"",COUNT(F120:H120)=3),IF(AND(G120&gt;=0,G120=INT(G120)),F120/(F120+H120),""),"")</x:f>
      </x:c>
      <x:c r="K120" s="27" t="str">
        <x:f>IF(AND(B120&lt;&gt;"",D120&lt;&gt;"",COUNT(F120:H120)=3),IF(AND(G120&gt;=0,G120=INT(G120)),2*F120/(2*F120+G120+H120),""),"")</x:f>
      </x:c>
      <x:c r="L120" s="22"/>
    </x:row>
    <x:row r="121" ht="36" customHeight="1">
      <x:c r="A121" s="14" t="str">
        <x:v>EXEC-113</x:v>
      </x:c>
      <x:c r="B121" s="19"/>
      <x:c r="C121" s="19"/>
      <x:c r="D121" s="24"/>
      <x:c r="E121" s="25"/>
      <x:c r="F121" s="26" t="str">
        <x:f>IF(OR(C121="",E121=""),"",IF(COUNTIF($Z$3:$Z$58,C121&amp;"|"&amp;E121)=0,"",VLOOKUP(C121&amp;"|"&amp;E121,$Z$3:$AA$58,2,FALSE)))</x:f>
      </x:c>
      <x:c r="G121" s="24"/>
      <x:c r="H121" s="26" t="str">
        <x:f>IF(ISNUMBER(F121),VLOOKUP(C121,$X$3:$Y$12,2,FALSE)-F121,"")</x:f>
      </x:c>
      <x:c r="I121" s="27" t="str">
        <x:f>IF(AND(B121&lt;&gt;"",D121&lt;&gt;"",COUNT(F121:H121)=3),IF(AND(G121&gt;=0,G121=INT(G121)),IF(F121+G121=0,"Indefinida",F121/(F121+G121)),""),"")</x:f>
      </x:c>
      <x:c r="J121" s="27" t="str">
        <x:f>IF(AND(B121&lt;&gt;"",D121&lt;&gt;"",COUNT(F121:H121)=3),IF(AND(G121&gt;=0,G121=INT(G121)),F121/(F121+H121),""),"")</x:f>
      </x:c>
      <x:c r="K121" s="27" t="str">
        <x:f>IF(AND(B121&lt;&gt;"",D121&lt;&gt;"",COUNT(F121:H121)=3),IF(AND(G121&gt;=0,G121=INT(G121)),2*F121/(2*F121+G121+H121),""),"")</x:f>
      </x:c>
      <x:c r="L121" s="22"/>
    </x:row>
    <x:row r="122" ht="36" customHeight="1">
      <x:c r="A122" s="14" t="str">
        <x:v>EXEC-114</x:v>
      </x:c>
      <x:c r="B122" s="19"/>
      <x:c r="C122" s="19"/>
      <x:c r="D122" s="24"/>
      <x:c r="E122" s="25"/>
      <x:c r="F122" s="26" t="str">
        <x:f>IF(OR(C122="",E122=""),"",IF(COUNTIF($Z$3:$Z$58,C122&amp;"|"&amp;E122)=0,"",VLOOKUP(C122&amp;"|"&amp;E122,$Z$3:$AA$58,2,FALSE)))</x:f>
      </x:c>
      <x:c r="G122" s="24"/>
      <x:c r="H122" s="26" t="str">
        <x:f>IF(ISNUMBER(F122),VLOOKUP(C122,$X$3:$Y$12,2,FALSE)-F122,"")</x:f>
      </x:c>
      <x:c r="I122" s="27" t="str">
        <x:f>IF(AND(B122&lt;&gt;"",D122&lt;&gt;"",COUNT(F122:H122)=3),IF(AND(G122&gt;=0,G122=INT(G122)),IF(F122+G122=0,"Indefinida",F122/(F122+G122)),""),"")</x:f>
      </x:c>
      <x:c r="J122" s="27" t="str">
        <x:f>IF(AND(B122&lt;&gt;"",D122&lt;&gt;"",COUNT(F122:H122)=3),IF(AND(G122&gt;=0,G122=INT(G122)),F122/(F122+H122),""),"")</x:f>
      </x:c>
      <x:c r="K122" s="27" t="str">
        <x:f>IF(AND(B122&lt;&gt;"",D122&lt;&gt;"",COUNT(F122:H122)=3),IF(AND(G122&gt;=0,G122=INT(G122)),2*F122/(2*F122+G122+H122),""),"")</x:f>
      </x:c>
      <x:c r="L122" s="22"/>
    </x:row>
    <x:row r="123" ht="36" customHeight="1">
      <x:c r="A123" s="14" t="str">
        <x:v>EXEC-115</x:v>
      </x:c>
      <x:c r="B123" s="19"/>
      <x:c r="C123" s="19"/>
      <x:c r="D123" s="24"/>
      <x:c r="E123" s="25"/>
      <x:c r="F123" s="26" t="str">
        <x:f>IF(OR(C123="",E123=""),"",IF(COUNTIF($Z$3:$Z$58,C123&amp;"|"&amp;E123)=0,"",VLOOKUP(C123&amp;"|"&amp;E123,$Z$3:$AA$58,2,FALSE)))</x:f>
      </x:c>
      <x:c r="G123" s="24"/>
      <x:c r="H123" s="26" t="str">
        <x:f>IF(ISNUMBER(F123),VLOOKUP(C123,$X$3:$Y$12,2,FALSE)-F123,"")</x:f>
      </x:c>
      <x:c r="I123" s="27" t="str">
        <x:f>IF(AND(B123&lt;&gt;"",D123&lt;&gt;"",COUNT(F123:H123)=3),IF(AND(G123&gt;=0,G123=INT(G123)),IF(F123+G123=0,"Indefinida",F123/(F123+G123)),""),"")</x:f>
      </x:c>
      <x:c r="J123" s="27" t="str">
        <x:f>IF(AND(B123&lt;&gt;"",D123&lt;&gt;"",COUNT(F123:H123)=3),IF(AND(G123&gt;=0,G123=INT(G123)),F123/(F123+H123),""),"")</x:f>
      </x:c>
      <x:c r="K123" s="27" t="str">
        <x:f>IF(AND(B123&lt;&gt;"",D123&lt;&gt;"",COUNT(F123:H123)=3),IF(AND(G123&gt;=0,G123=INT(G123)),2*F123/(2*F123+G123+H123),""),"")</x:f>
      </x:c>
      <x:c r="L123" s="22"/>
    </x:row>
    <x:row r="124" ht="36" customHeight="1">
      <x:c r="A124" s="14" t="str">
        <x:v>EXEC-116</x:v>
      </x:c>
      <x:c r="B124" s="19"/>
      <x:c r="C124" s="19"/>
      <x:c r="D124" s="24"/>
      <x:c r="E124" s="25"/>
      <x:c r="F124" s="26" t="str">
        <x:f>IF(OR(C124="",E124=""),"",IF(COUNTIF($Z$3:$Z$58,C124&amp;"|"&amp;E124)=0,"",VLOOKUP(C124&amp;"|"&amp;E124,$Z$3:$AA$58,2,FALSE)))</x:f>
      </x:c>
      <x:c r="G124" s="24"/>
      <x:c r="H124" s="26" t="str">
        <x:f>IF(ISNUMBER(F124),VLOOKUP(C124,$X$3:$Y$12,2,FALSE)-F124,"")</x:f>
      </x:c>
      <x:c r="I124" s="27" t="str">
        <x:f>IF(AND(B124&lt;&gt;"",D124&lt;&gt;"",COUNT(F124:H124)=3),IF(AND(G124&gt;=0,G124=INT(G124)),IF(F124+G124=0,"Indefinida",F124/(F124+G124)),""),"")</x:f>
      </x:c>
      <x:c r="J124" s="27" t="str">
        <x:f>IF(AND(B124&lt;&gt;"",D124&lt;&gt;"",COUNT(F124:H124)=3),IF(AND(G124&gt;=0,G124=INT(G124)),F124/(F124+H124),""),"")</x:f>
      </x:c>
      <x:c r="K124" s="27" t="str">
        <x:f>IF(AND(B124&lt;&gt;"",D124&lt;&gt;"",COUNT(F124:H124)=3),IF(AND(G124&gt;=0,G124=INT(G124)),2*F124/(2*F124+G124+H124),""),"")</x:f>
      </x:c>
      <x:c r="L124" s="22"/>
    </x:row>
    <x:row r="125" ht="36" customHeight="1">
      <x:c r="A125" s="14" t="str">
        <x:v>EXEC-117</x:v>
      </x:c>
      <x:c r="B125" s="19"/>
      <x:c r="C125" s="19"/>
      <x:c r="D125" s="24"/>
      <x:c r="E125" s="25"/>
      <x:c r="F125" s="26" t="str">
        <x:f>IF(OR(C125="",E125=""),"",IF(COUNTIF($Z$3:$Z$58,C125&amp;"|"&amp;E125)=0,"",VLOOKUP(C125&amp;"|"&amp;E125,$Z$3:$AA$58,2,FALSE)))</x:f>
      </x:c>
      <x:c r="G125" s="24"/>
      <x:c r="H125" s="26" t="str">
        <x:f>IF(ISNUMBER(F125),VLOOKUP(C125,$X$3:$Y$12,2,FALSE)-F125,"")</x:f>
      </x:c>
      <x:c r="I125" s="27" t="str">
        <x:f>IF(AND(B125&lt;&gt;"",D125&lt;&gt;"",COUNT(F125:H125)=3),IF(AND(G125&gt;=0,G125=INT(G125)),IF(F125+G125=0,"Indefinida",F125/(F125+G125)),""),"")</x:f>
      </x:c>
      <x:c r="J125" s="27" t="str">
        <x:f>IF(AND(B125&lt;&gt;"",D125&lt;&gt;"",COUNT(F125:H125)=3),IF(AND(G125&gt;=0,G125=INT(G125)),F125/(F125+H125),""),"")</x:f>
      </x:c>
      <x:c r="K125" s="27" t="str">
        <x:f>IF(AND(B125&lt;&gt;"",D125&lt;&gt;"",COUNT(F125:H125)=3),IF(AND(G125&gt;=0,G125=INT(G125)),2*F125/(2*F125+G125+H125),""),"")</x:f>
      </x:c>
      <x:c r="L125" s="22"/>
    </x:row>
    <x:row r="126" ht="36" customHeight="1">
      <x:c r="A126" s="14" t="str">
        <x:v>EXEC-118</x:v>
      </x:c>
      <x:c r="B126" s="19"/>
      <x:c r="C126" s="19"/>
      <x:c r="D126" s="24"/>
      <x:c r="E126" s="25"/>
      <x:c r="F126" s="26" t="str">
        <x:f>IF(OR(C126="",E126=""),"",IF(COUNTIF($Z$3:$Z$58,C126&amp;"|"&amp;E126)=0,"",VLOOKUP(C126&amp;"|"&amp;E126,$Z$3:$AA$58,2,FALSE)))</x:f>
      </x:c>
      <x:c r="G126" s="24"/>
      <x:c r="H126" s="26" t="str">
        <x:f>IF(ISNUMBER(F126),VLOOKUP(C126,$X$3:$Y$12,2,FALSE)-F126,"")</x:f>
      </x:c>
      <x:c r="I126" s="27" t="str">
        <x:f>IF(AND(B126&lt;&gt;"",D126&lt;&gt;"",COUNT(F126:H126)=3),IF(AND(G126&gt;=0,G126=INT(G126)),IF(F126+G126=0,"Indefinida",F126/(F126+G126)),""),"")</x:f>
      </x:c>
      <x:c r="J126" s="27" t="str">
        <x:f>IF(AND(B126&lt;&gt;"",D126&lt;&gt;"",COUNT(F126:H126)=3),IF(AND(G126&gt;=0,G126=INT(G126)),F126/(F126+H126),""),"")</x:f>
      </x:c>
      <x:c r="K126" s="27" t="str">
        <x:f>IF(AND(B126&lt;&gt;"",D126&lt;&gt;"",COUNT(F126:H126)=3),IF(AND(G126&gt;=0,G126=INT(G126)),2*F126/(2*F126+G126+H126),""),"")</x:f>
      </x:c>
      <x:c r="L126" s="22"/>
    </x:row>
    <x:row r="127" ht="36" customHeight="1">
      <x:c r="A127" s="14" t="str">
        <x:v>EXEC-119</x:v>
      </x:c>
      <x:c r="B127" s="19"/>
      <x:c r="C127" s="19"/>
      <x:c r="D127" s="24"/>
      <x:c r="E127" s="25"/>
      <x:c r="F127" s="26" t="str">
        <x:f>IF(OR(C127="",E127=""),"",IF(COUNTIF($Z$3:$Z$58,C127&amp;"|"&amp;E127)=0,"",VLOOKUP(C127&amp;"|"&amp;E127,$Z$3:$AA$58,2,FALSE)))</x:f>
      </x:c>
      <x:c r="G127" s="24"/>
      <x:c r="H127" s="26" t="str">
        <x:f>IF(ISNUMBER(F127),VLOOKUP(C127,$X$3:$Y$12,2,FALSE)-F127,"")</x:f>
      </x:c>
      <x:c r="I127" s="27" t="str">
        <x:f>IF(AND(B127&lt;&gt;"",D127&lt;&gt;"",COUNT(F127:H127)=3),IF(AND(G127&gt;=0,G127=INT(G127)),IF(F127+G127=0,"Indefinida",F127/(F127+G127)),""),"")</x:f>
      </x:c>
      <x:c r="J127" s="27" t="str">
        <x:f>IF(AND(B127&lt;&gt;"",D127&lt;&gt;"",COUNT(F127:H127)=3),IF(AND(G127&gt;=0,G127=INT(G127)),F127/(F127+H127),""),"")</x:f>
      </x:c>
      <x:c r="K127" s="27" t="str">
        <x:f>IF(AND(B127&lt;&gt;"",D127&lt;&gt;"",COUNT(F127:H127)=3),IF(AND(G127&gt;=0,G127=INT(G127)),2*F127/(2*F127+G127+H127),""),"")</x:f>
      </x:c>
      <x:c r="L127" s="22"/>
    </x:row>
    <x:row r="128" ht="36" customHeight="1">
      <x:c r="A128" s="14" t="str">
        <x:v>EXEC-120</x:v>
      </x:c>
      <x:c r="B128" s="19"/>
      <x:c r="C128" s="19"/>
      <x:c r="D128" s="24"/>
      <x:c r="E128" s="25"/>
      <x:c r="F128" s="26" t="str">
        <x:f>IF(OR(C128="",E128=""),"",IF(COUNTIF($Z$3:$Z$58,C128&amp;"|"&amp;E128)=0,"",VLOOKUP(C128&amp;"|"&amp;E128,$Z$3:$AA$58,2,FALSE)))</x:f>
      </x:c>
      <x:c r="G128" s="24"/>
      <x:c r="H128" s="26" t="str">
        <x:f>IF(ISNUMBER(F128),VLOOKUP(C128,$X$3:$Y$12,2,FALSE)-F128,"")</x:f>
      </x:c>
      <x:c r="I128" s="27" t="str">
        <x:f>IF(AND(B128&lt;&gt;"",D128&lt;&gt;"",COUNT(F128:H128)=3),IF(AND(G128&gt;=0,G128=INT(G128)),IF(F128+G128=0,"Indefinida",F128/(F128+G128)),""),"")</x:f>
      </x:c>
      <x:c r="J128" s="27" t="str">
        <x:f>IF(AND(B128&lt;&gt;"",D128&lt;&gt;"",COUNT(F128:H128)=3),IF(AND(G128&gt;=0,G128=INT(G128)),F128/(F128+H128),""),"")</x:f>
      </x:c>
      <x:c r="K128" s="27" t="str">
        <x:f>IF(AND(B128&lt;&gt;"",D128&lt;&gt;"",COUNT(F128:H128)=3),IF(AND(G128&gt;=0,G128=INT(G128)),2*F128/(2*F128+G128+H128),""),"")</x:f>
      </x:c>
      <x:c r="L128" s="22"/>
    </x:row>
    <x:row r="129" ht="36" customHeight="1">
      <x:c r="A129" s="14" t="str">
        <x:v>EXEC-121</x:v>
      </x:c>
      <x:c r="B129" s="19"/>
      <x:c r="C129" s="19"/>
      <x:c r="D129" s="24"/>
      <x:c r="E129" s="25"/>
      <x:c r="F129" s="26" t="str">
        <x:f>IF(OR(C129="",E129=""),"",IF(COUNTIF($Z$3:$Z$58,C129&amp;"|"&amp;E129)=0,"",VLOOKUP(C129&amp;"|"&amp;E129,$Z$3:$AA$58,2,FALSE)))</x:f>
      </x:c>
      <x:c r="G129" s="24"/>
      <x:c r="H129" s="26" t="str">
        <x:f>IF(ISNUMBER(F129),VLOOKUP(C129,$X$3:$Y$12,2,FALSE)-F129,"")</x:f>
      </x:c>
      <x:c r="I129" s="27" t="str">
        <x:f>IF(AND(B129&lt;&gt;"",D129&lt;&gt;"",COUNT(F129:H129)=3),IF(AND(G129&gt;=0,G129=INT(G129)),IF(F129+G129=0,"Indefinida",F129/(F129+G129)),""),"")</x:f>
      </x:c>
      <x:c r="J129" s="27" t="str">
        <x:f>IF(AND(B129&lt;&gt;"",D129&lt;&gt;"",COUNT(F129:H129)=3),IF(AND(G129&gt;=0,G129=INT(G129)),F129/(F129+H129),""),"")</x:f>
      </x:c>
      <x:c r="K129" s="27" t="str">
        <x:f>IF(AND(B129&lt;&gt;"",D129&lt;&gt;"",COUNT(F129:H129)=3),IF(AND(G129&gt;=0,G129=INT(G129)),2*F129/(2*F129+G129+H129),""),"")</x:f>
      </x:c>
      <x:c r="L129" s="22"/>
    </x:row>
    <x:row r="130" ht="36" customHeight="1">
      <x:c r="A130" s="14" t="str">
        <x:v>EXEC-122</x:v>
      </x:c>
      <x:c r="B130" s="19"/>
      <x:c r="C130" s="19"/>
      <x:c r="D130" s="24"/>
      <x:c r="E130" s="25"/>
      <x:c r="F130" s="26" t="str">
        <x:f>IF(OR(C130="",E130=""),"",IF(COUNTIF($Z$3:$Z$58,C130&amp;"|"&amp;E130)=0,"",VLOOKUP(C130&amp;"|"&amp;E130,$Z$3:$AA$58,2,FALSE)))</x:f>
      </x:c>
      <x:c r="G130" s="24"/>
      <x:c r="H130" s="26" t="str">
        <x:f>IF(ISNUMBER(F130),VLOOKUP(C130,$X$3:$Y$12,2,FALSE)-F130,"")</x:f>
      </x:c>
      <x:c r="I130" s="27" t="str">
        <x:f>IF(AND(B130&lt;&gt;"",D130&lt;&gt;"",COUNT(F130:H130)=3),IF(AND(G130&gt;=0,G130=INT(G130)),IF(F130+G130=0,"Indefinida",F130/(F130+G130)),""),"")</x:f>
      </x:c>
      <x:c r="J130" s="27" t="str">
        <x:f>IF(AND(B130&lt;&gt;"",D130&lt;&gt;"",COUNT(F130:H130)=3),IF(AND(G130&gt;=0,G130=INT(G130)),F130/(F130+H130),""),"")</x:f>
      </x:c>
      <x:c r="K130" s="27" t="str">
        <x:f>IF(AND(B130&lt;&gt;"",D130&lt;&gt;"",COUNT(F130:H130)=3),IF(AND(G130&gt;=0,G130=INT(G130)),2*F130/(2*F130+G130+H130),""),"")</x:f>
      </x:c>
      <x:c r="L130" s="22"/>
    </x:row>
    <x:row r="131" ht="36" customHeight="1">
      <x:c r="A131" s="14" t="str">
        <x:v>EXEC-123</x:v>
      </x:c>
      <x:c r="B131" s="19"/>
      <x:c r="C131" s="19"/>
      <x:c r="D131" s="24"/>
      <x:c r="E131" s="25"/>
      <x:c r="F131" s="26" t="str">
        <x:f>IF(OR(C131="",E131=""),"",IF(COUNTIF($Z$3:$Z$58,C131&amp;"|"&amp;E131)=0,"",VLOOKUP(C131&amp;"|"&amp;E131,$Z$3:$AA$58,2,FALSE)))</x:f>
      </x:c>
      <x:c r="G131" s="24"/>
      <x:c r="H131" s="26" t="str">
        <x:f>IF(ISNUMBER(F131),VLOOKUP(C131,$X$3:$Y$12,2,FALSE)-F131,"")</x:f>
      </x:c>
      <x:c r="I131" s="27" t="str">
        <x:f>IF(AND(B131&lt;&gt;"",D131&lt;&gt;"",COUNT(F131:H131)=3),IF(AND(G131&gt;=0,G131=INT(G131)),IF(F131+G131=0,"Indefinida",F131/(F131+G131)),""),"")</x:f>
      </x:c>
      <x:c r="J131" s="27" t="str">
        <x:f>IF(AND(B131&lt;&gt;"",D131&lt;&gt;"",COUNT(F131:H131)=3),IF(AND(G131&gt;=0,G131=INT(G131)),F131/(F131+H131),""),"")</x:f>
      </x:c>
      <x:c r="K131" s="27" t="str">
        <x:f>IF(AND(B131&lt;&gt;"",D131&lt;&gt;"",COUNT(F131:H131)=3),IF(AND(G131&gt;=0,G131=INT(G131)),2*F131/(2*F131+G131+H131),""),"")</x:f>
      </x:c>
      <x:c r="L131" s="22"/>
    </x:row>
    <x:row r="132" ht="36" customHeight="1">
      <x:c r="A132" s="14" t="str">
        <x:v>EXEC-124</x:v>
      </x:c>
      <x:c r="B132" s="19"/>
      <x:c r="C132" s="19"/>
      <x:c r="D132" s="24"/>
      <x:c r="E132" s="25"/>
      <x:c r="F132" s="26" t="str">
        <x:f>IF(OR(C132="",E132=""),"",IF(COUNTIF($Z$3:$Z$58,C132&amp;"|"&amp;E132)=0,"",VLOOKUP(C132&amp;"|"&amp;E132,$Z$3:$AA$58,2,FALSE)))</x:f>
      </x:c>
      <x:c r="G132" s="24"/>
      <x:c r="H132" s="26" t="str">
        <x:f>IF(ISNUMBER(F132),VLOOKUP(C132,$X$3:$Y$12,2,FALSE)-F132,"")</x:f>
      </x:c>
      <x:c r="I132" s="27" t="str">
        <x:f>IF(AND(B132&lt;&gt;"",D132&lt;&gt;"",COUNT(F132:H132)=3),IF(AND(G132&gt;=0,G132=INT(G132)),IF(F132+G132=0,"Indefinida",F132/(F132+G132)),""),"")</x:f>
      </x:c>
      <x:c r="J132" s="27" t="str">
        <x:f>IF(AND(B132&lt;&gt;"",D132&lt;&gt;"",COUNT(F132:H132)=3),IF(AND(G132&gt;=0,G132=INT(G132)),F132/(F132+H132),""),"")</x:f>
      </x:c>
      <x:c r="K132" s="27" t="str">
        <x:f>IF(AND(B132&lt;&gt;"",D132&lt;&gt;"",COUNT(F132:H132)=3),IF(AND(G132&gt;=0,G132=INT(G132)),2*F132/(2*F132+G132+H132),""),"")</x:f>
      </x:c>
      <x:c r="L132" s="22"/>
    </x:row>
    <x:row r="133" ht="36" customHeight="1">
      <x:c r="A133" s="14" t="str">
        <x:v>EXEC-125</x:v>
      </x:c>
      <x:c r="B133" s="19"/>
      <x:c r="C133" s="19"/>
      <x:c r="D133" s="24"/>
      <x:c r="E133" s="25"/>
      <x:c r="F133" s="26" t="str">
        <x:f>IF(OR(C133="",E133=""),"",IF(COUNTIF($Z$3:$Z$58,C133&amp;"|"&amp;E133)=0,"",VLOOKUP(C133&amp;"|"&amp;E133,$Z$3:$AA$58,2,FALSE)))</x:f>
      </x:c>
      <x:c r="G133" s="24"/>
      <x:c r="H133" s="26" t="str">
        <x:f>IF(ISNUMBER(F133),VLOOKUP(C133,$X$3:$Y$12,2,FALSE)-F133,"")</x:f>
      </x:c>
      <x:c r="I133" s="27" t="str">
        <x:f>IF(AND(B133&lt;&gt;"",D133&lt;&gt;"",COUNT(F133:H133)=3),IF(AND(G133&gt;=0,G133=INT(G133)),IF(F133+G133=0,"Indefinida",F133/(F133+G133)),""),"")</x:f>
      </x:c>
      <x:c r="J133" s="27" t="str">
        <x:f>IF(AND(B133&lt;&gt;"",D133&lt;&gt;"",COUNT(F133:H133)=3),IF(AND(G133&gt;=0,G133=INT(G133)),F133/(F133+H133),""),"")</x:f>
      </x:c>
      <x:c r="K133" s="27" t="str">
        <x:f>IF(AND(B133&lt;&gt;"",D133&lt;&gt;"",COUNT(F133:H133)=3),IF(AND(G133&gt;=0,G133=INT(G133)),2*F133/(2*F133+G133+H133),""),"")</x:f>
      </x:c>
      <x:c r="L133" s="22"/>
    </x:row>
    <x:row r="134" ht="36" customHeight="1">
      <x:c r="A134" s="14" t="str">
        <x:v>EXEC-126</x:v>
      </x:c>
      <x:c r="B134" s="19"/>
      <x:c r="C134" s="19"/>
      <x:c r="D134" s="24"/>
      <x:c r="E134" s="25"/>
      <x:c r="F134" s="26" t="str">
        <x:f>IF(OR(C134="",E134=""),"",IF(COUNTIF($Z$3:$Z$58,C134&amp;"|"&amp;E134)=0,"",VLOOKUP(C134&amp;"|"&amp;E134,$Z$3:$AA$58,2,FALSE)))</x:f>
      </x:c>
      <x:c r="G134" s="24"/>
      <x:c r="H134" s="26" t="str">
        <x:f>IF(ISNUMBER(F134),VLOOKUP(C134,$X$3:$Y$12,2,FALSE)-F134,"")</x:f>
      </x:c>
      <x:c r="I134" s="27" t="str">
        <x:f>IF(AND(B134&lt;&gt;"",D134&lt;&gt;"",COUNT(F134:H134)=3),IF(AND(G134&gt;=0,G134=INT(G134)),IF(F134+G134=0,"Indefinida",F134/(F134+G134)),""),"")</x:f>
      </x:c>
      <x:c r="J134" s="27" t="str">
        <x:f>IF(AND(B134&lt;&gt;"",D134&lt;&gt;"",COUNT(F134:H134)=3),IF(AND(G134&gt;=0,G134=INT(G134)),F134/(F134+H134),""),"")</x:f>
      </x:c>
      <x:c r="K134" s="27" t="str">
        <x:f>IF(AND(B134&lt;&gt;"",D134&lt;&gt;"",COUNT(F134:H134)=3),IF(AND(G134&gt;=0,G134=INT(G134)),2*F134/(2*F134+G134+H134),""),"")</x:f>
      </x:c>
      <x:c r="L134" s="22"/>
    </x:row>
    <x:row r="135" ht="36" customHeight="1">
      <x:c r="A135" s="14" t="str">
        <x:v>EXEC-127</x:v>
      </x:c>
      <x:c r="B135" s="19"/>
      <x:c r="C135" s="19"/>
      <x:c r="D135" s="24"/>
      <x:c r="E135" s="25"/>
      <x:c r="F135" s="26" t="str">
        <x:f>IF(OR(C135="",E135=""),"",IF(COUNTIF($Z$3:$Z$58,C135&amp;"|"&amp;E135)=0,"",VLOOKUP(C135&amp;"|"&amp;E135,$Z$3:$AA$58,2,FALSE)))</x:f>
      </x:c>
      <x:c r="G135" s="24"/>
      <x:c r="H135" s="26" t="str">
        <x:f>IF(ISNUMBER(F135),VLOOKUP(C135,$X$3:$Y$12,2,FALSE)-F135,"")</x:f>
      </x:c>
      <x:c r="I135" s="27" t="str">
        <x:f>IF(AND(B135&lt;&gt;"",D135&lt;&gt;"",COUNT(F135:H135)=3),IF(AND(G135&gt;=0,G135=INT(G135)),IF(F135+G135=0,"Indefinida",F135/(F135+G135)),""),"")</x:f>
      </x:c>
      <x:c r="J135" s="27" t="str">
        <x:f>IF(AND(B135&lt;&gt;"",D135&lt;&gt;"",COUNT(F135:H135)=3),IF(AND(G135&gt;=0,G135=INT(G135)),F135/(F135+H135),""),"")</x:f>
      </x:c>
      <x:c r="K135" s="27" t="str">
        <x:f>IF(AND(B135&lt;&gt;"",D135&lt;&gt;"",COUNT(F135:H135)=3),IF(AND(G135&gt;=0,G135=INT(G135)),2*F135/(2*F135+G135+H135),""),"")</x:f>
      </x:c>
      <x:c r="L135" s="22"/>
    </x:row>
    <x:row r="136" ht="36" customHeight="1">
      <x:c r="A136" s="14" t="str">
        <x:v>EXEC-128</x:v>
      </x:c>
      <x:c r="B136" s="19"/>
      <x:c r="C136" s="19"/>
      <x:c r="D136" s="24"/>
      <x:c r="E136" s="25"/>
      <x:c r="F136" s="26" t="str">
        <x:f>IF(OR(C136="",E136=""),"",IF(COUNTIF($Z$3:$Z$58,C136&amp;"|"&amp;E136)=0,"",VLOOKUP(C136&amp;"|"&amp;E136,$Z$3:$AA$58,2,FALSE)))</x:f>
      </x:c>
      <x:c r="G136" s="24"/>
      <x:c r="H136" s="26" t="str">
        <x:f>IF(ISNUMBER(F136),VLOOKUP(C136,$X$3:$Y$12,2,FALSE)-F136,"")</x:f>
      </x:c>
      <x:c r="I136" s="27" t="str">
        <x:f>IF(AND(B136&lt;&gt;"",D136&lt;&gt;"",COUNT(F136:H136)=3),IF(AND(G136&gt;=0,G136=INT(G136)),IF(F136+G136=0,"Indefinida",F136/(F136+G136)),""),"")</x:f>
      </x:c>
      <x:c r="J136" s="27" t="str">
        <x:f>IF(AND(B136&lt;&gt;"",D136&lt;&gt;"",COUNT(F136:H136)=3),IF(AND(G136&gt;=0,G136=INT(G136)),F136/(F136+H136),""),"")</x:f>
      </x:c>
      <x:c r="K136" s="27" t="str">
        <x:f>IF(AND(B136&lt;&gt;"",D136&lt;&gt;"",COUNT(F136:H136)=3),IF(AND(G136&gt;=0,G136=INT(G136)),2*F136/(2*F136+G136+H136),""),"")</x:f>
      </x:c>
      <x:c r="L136" s="22"/>
    </x:row>
    <x:row r="137" ht="36" customHeight="1">
      <x:c r="A137" s="14" t="str">
        <x:v>EXEC-129</x:v>
      </x:c>
      <x:c r="B137" s="19"/>
      <x:c r="C137" s="19"/>
      <x:c r="D137" s="24"/>
      <x:c r="E137" s="25"/>
      <x:c r="F137" s="26" t="str">
        <x:f>IF(OR(C137="",E137=""),"",IF(COUNTIF($Z$3:$Z$58,C137&amp;"|"&amp;E137)=0,"",VLOOKUP(C137&amp;"|"&amp;E137,$Z$3:$AA$58,2,FALSE)))</x:f>
      </x:c>
      <x:c r="G137" s="24"/>
      <x:c r="H137" s="26" t="str">
        <x:f>IF(ISNUMBER(F137),VLOOKUP(C137,$X$3:$Y$12,2,FALSE)-F137,"")</x:f>
      </x:c>
      <x:c r="I137" s="27" t="str">
        <x:f>IF(AND(B137&lt;&gt;"",D137&lt;&gt;"",COUNT(F137:H137)=3),IF(AND(G137&gt;=0,G137=INT(G137)),IF(F137+G137=0,"Indefinida",F137/(F137+G137)),""),"")</x:f>
      </x:c>
      <x:c r="J137" s="27" t="str">
        <x:f>IF(AND(B137&lt;&gt;"",D137&lt;&gt;"",COUNT(F137:H137)=3),IF(AND(G137&gt;=0,G137=INT(G137)),F137/(F137+H137),""),"")</x:f>
      </x:c>
      <x:c r="K137" s="27" t="str">
        <x:f>IF(AND(B137&lt;&gt;"",D137&lt;&gt;"",COUNT(F137:H137)=3),IF(AND(G137&gt;=0,G137=INT(G137)),2*F137/(2*F137+G137+H137),""),"")</x:f>
      </x:c>
      <x:c r="L137" s="22"/>
    </x:row>
    <x:row r="138" ht="36" customHeight="1">
      <x:c r="A138" s="14" t="str">
        <x:v>EXEC-130</x:v>
      </x:c>
      <x:c r="B138" s="19"/>
      <x:c r="C138" s="19"/>
      <x:c r="D138" s="24"/>
      <x:c r="E138" s="25"/>
      <x:c r="F138" s="26" t="str">
        <x:f>IF(OR(C138="",E138=""),"",IF(COUNTIF($Z$3:$Z$58,C138&amp;"|"&amp;E138)=0,"",VLOOKUP(C138&amp;"|"&amp;E138,$Z$3:$AA$58,2,FALSE)))</x:f>
      </x:c>
      <x:c r="G138" s="24"/>
      <x:c r="H138" s="26" t="str">
        <x:f>IF(ISNUMBER(F138),VLOOKUP(C138,$X$3:$Y$12,2,FALSE)-F138,"")</x:f>
      </x:c>
      <x:c r="I138" s="27" t="str">
        <x:f>IF(AND(B138&lt;&gt;"",D138&lt;&gt;"",COUNT(F138:H138)=3),IF(AND(G138&gt;=0,G138=INT(G138)),IF(F138+G138=0,"Indefinida",F138/(F138+G138)),""),"")</x:f>
      </x:c>
      <x:c r="J138" s="27" t="str">
        <x:f>IF(AND(B138&lt;&gt;"",D138&lt;&gt;"",COUNT(F138:H138)=3),IF(AND(G138&gt;=0,G138=INT(G138)),F138/(F138+H138),""),"")</x:f>
      </x:c>
      <x:c r="K138" s="27" t="str">
        <x:f>IF(AND(B138&lt;&gt;"",D138&lt;&gt;"",COUNT(F138:H138)=3),IF(AND(G138&gt;=0,G138=INT(G138)),2*F138/(2*F138+G138+H138),""),"")</x:f>
      </x:c>
      <x:c r="L138" s="22"/>
    </x:row>
    <x:row r="139" ht="36" customHeight="1">
      <x:c r="A139" s="14" t="str">
        <x:v>EXEC-131</x:v>
      </x:c>
      <x:c r="B139" s="19"/>
      <x:c r="C139" s="19"/>
      <x:c r="D139" s="24"/>
      <x:c r="E139" s="25"/>
      <x:c r="F139" s="26" t="str">
        <x:f>IF(OR(C139="",E139=""),"",IF(COUNTIF($Z$3:$Z$58,C139&amp;"|"&amp;E139)=0,"",VLOOKUP(C139&amp;"|"&amp;E139,$Z$3:$AA$58,2,FALSE)))</x:f>
      </x:c>
      <x:c r="G139" s="24"/>
      <x:c r="H139" s="26" t="str">
        <x:f>IF(ISNUMBER(F139),VLOOKUP(C139,$X$3:$Y$12,2,FALSE)-F139,"")</x:f>
      </x:c>
      <x:c r="I139" s="27" t="str">
        <x:f>IF(AND(B139&lt;&gt;"",D139&lt;&gt;"",COUNT(F139:H139)=3),IF(AND(G139&gt;=0,G139=INT(G139)),IF(F139+G139=0,"Indefinida",F139/(F139+G139)),""),"")</x:f>
      </x:c>
      <x:c r="J139" s="27" t="str">
        <x:f>IF(AND(B139&lt;&gt;"",D139&lt;&gt;"",COUNT(F139:H139)=3),IF(AND(G139&gt;=0,G139=INT(G139)),F139/(F139+H139),""),"")</x:f>
      </x:c>
      <x:c r="K139" s="27" t="str">
        <x:f>IF(AND(B139&lt;&gt;"",D139&lt;&gt;"",COUNT(F139:H139)=3),IF(AND(G139&gt;=0,G139=INT(G139)),2*F139/(2*F139+G139+H139),""),"")</x:f>
      </x:c>
      <x:c r="L139" s="22"/>
    </x:row>
    <x:row r="140" ht="36" customHeight="1">
      <x:c r="A140" s="14" t="str">
        <x:v>EXEC-132</x:v>
      </x:c>
      <x:c r="B140" s="19"/>
      <x:c r="C140" s="19"/>
      <x:c r="D140" s="24"/>
      <x:c r="E140" s="25"/>
      <x:c r="F140" s="26" t="str">
        <x:f>IF(OR(C140="",E140=""),"",IF(COUNTIF($Z$3:$Z$58,C140&amp;"|"&amp;E140)=0,"",VLOOKUP(C140&amp;"|"&amp;E140,$Z$3:$AA$58,2,FALSE)))</x:f>
      </x:c>
      <x:c r="G140" s="24"/>
      <x:c r="H140" s="26" t="str">
        <x:f>IF(ISNUMBER(F140),VLOOKUP(C140,$X$3:$Y$12,2,FALSE)-F140,"")</x:f>
      </x:c>
      <x:c r="I140" s="27" t="str">
        <x:f>IF(AND(B140&lt;&gt;"",D140&lt;&gt;"",COUNT(F140:H140)=3),IF(AND(G140&gt;=0,G140=INT(G140)),IF(F140+G140=0,"Indefinida",F140/(F140+G140)),""),"")</x:f>
      </x:c>
      <x:c r="J140" s="27" t="str">
        <x:f>IF(AND(B140&lt;&gt;"",D140&lt;&gt;"",COUNT(F140:H140)=3),IF(AND(G140&gt;=0,G140=INT(G140)),F140/(F140+H140),""),"")</x:f>
      </x:c>
      <x:c r="K140" s="27" t="str">
        <x:f>IF(AND(B140&lt;&gt;"",D140&lt;&gt;"",COUNT(F140:H140)=3),IF(AND(G140&gt;=0,G140=INT(G140)),2*F140/(2*F140+G140+H140),""),"")</x:f>
      </x:c>
      <x:c r="L140" s="22"/>
    </x:row>
    <x:row r="141" ht="36" customHeight="1">
      <x:c r="A141" s="14" t="str">
        <x:v>EXEC-133</x:v>
      </x:c>
      <x:c r="B141" s="19"/>
      <x:c r="C141" s="19"/>
      <x:c r="D141" s="24"/>
      <x:c r="E141" s="25"/>
      <x:c r="F141" s="26" t="str">
        <x:f>IF(OR(C141="",E141=""),"",IF(COUNTIF($Z$3:$Z$58,C141&amp;"|"&amp;E141)=0,"",VLOOKUP(C141&amp;"|"&amp;E141,$Z$3:$AA$58,2,FALSE)))</x:f>
      </x:c>
      <x:c r="G141" s="24"/>
      <x:c r="H141" s="26" t="str">
        <x:f>IF(ISNUMBER(F141),VLOOKUP(C141,$X$3:$Y$12,2,FALSE)-F141,"")</x:f>
      </x:c>
      <x:c r="I141" s="27" t="str">
        <x:f>IF(AND(B141&lt;&gt;"",D141&lt;&gt;"",COUNT(F141:H141)=3),IF(AND(G141&gt;=0,G141=INT(G141)),IF(F141+G141=0,"Indefinida",F141/(F141+G141)),""),"")</x:f>
      </x:c>
      <x:c r="J141" s="27" t="str">
        <x:f>IF(AND(B141&lt;&gt;"",D141&lt;&gt;"",COUNT(F141:H141)=3),IF(AND(G141&gt;=0,G141=INT(G141)),F141/(F141+H141),""),"")</x:f>
      </x:c>
      <x:c r="K141" s="27" t="str">
        <x:f>IF(AND(B141&lt;&gt;"",D141&lt;&gt;"",COUNT(F141:H141)=3),IF(AND(G141&gt;=0,G141=INT(G141)),2*F141/(2*F141+G141+H141),""),"")</x:f>
      </x:c>
      <x:c r="L141" s="22"/>
    </x:row>
    <x:row r="142" ht="36" customHeight="1">
      <x:c r="A142" s="14" t="str">
        <x:v>EXEC-134</x:v>
      </x:c>
      <x:c r="B142" s="19"/>
      <x:c r="C142" s="19"/>
      <x:c r="D142" s="24"/>
      <x:c r="E142" s="25"/>
      <x:c r="F142" s="26" t="str">
        <x:f>IF(OR(C142="",E142=""),"",IF(COUNTIF($Z$3:$Z$58,C142&amp;"|"&amp;E142)=0,"",VLOOKUP(C142&amp;"|"&amp;E142,$Z$3:$AA$58,2,FALSE)))</x:f>
      </x:c>
      <x:c r="G142" s="24"/>
      <x:c r="H142" s="26" t="str">
        <x:f>IF(ISNUMBER(F142),VLOOKUP(C142,$X$3:$Y$12,2,FALSE)-F142,"")</x:f>
      </x:c>
      <x:c r="I142" s="27" t="str">
        <x:f>IF(AND(B142&lt;&gt;"",D142&lt;&gt;"",COUNT(F142:H142)=3),IF(AND(G142&gt;=0,G142=INT(G142)),IF(F142+G142=0,"Indefinida",F142/(F142+G142)),""),"")</x:f>
      </x:c>
      <x:c r="J142" s="27" t="str">
        <x:f>IF(AND(B142&lt;&gt;"",D142&lt;&gt;"",COUNT(F142:H142)=3),IF(AND(G142&gt;=0,G142=INT(G142)),F142/(F142+H142),""),"")</x:f>
      </x:c>
      <x:c r="K142" s="27" t="str">
        <x:f>IF(AND(B142&lt;&gt;"",D142&lt;&gt;"",COUNT(F142:H142)=3),IF(AND(G142&gt;=0,G142=INT(G142)),2*F142/(2*F142+G142+H142),""),"")</x:f>
      </x:c>
      <x:c r="L142" s="22"/>
    </x:row>
    <x:row r="143" ht="36" customHeight="1">
      <x:c r="A143" s="14" t="str">
        <x:v>EXEC-135</x:v>
      </x:c>
      <x:c r="B143" s="19"/>
      <x:c r="C143" s="19"/>
      <x:c r="D143" s="24"/>
      <x:c r="E143" s="25"/>
      <x:c r="F143" s="26" t="str">
        <x:f>IF(OR(C143="",E143=""),"",IF(COUNTIF($Z$3:$Z$58,C143&amp;"|"&amp;E143)=0,"",VLOOKUP(C143&amp;"|"&amp;E143,$Z$3:$AA$58,2,FALSE)))</x:f>
      </x:c>
      <x:c r="G143" s="24"/>
      <x:c r="H143" s="26" t="str">
        <x:f>IF(ISNUMBER(F143),VLOOKUP(C143,$X$3:$Y$12,2,FALSE)-F143,"")</x:f>
      </x:c>
      <x:c r="I143" s="27" t="str">
        <x:f>IF(AND(B143&lt;&gt;"",D143&lt;&gt;"",COUNT(F143:H143)=3),IF(AND(G143&gt;=0,G143=INT(G143)),IF(F143+G143=0,"Indefinida",F143/(F143+G143)),""),"")</x:f>
      </x:c>
      <x:c r="J143" s="27" t="str">
        <x:f>IF(AND(B143&lt;&gt;"",D143&lt;&gt;"",COUNT(F143:H143)=3),IF(AND(G143&gt;=0,G143=INT(G143)),F143/(F143+H143),""),"")</x:f>
      </x:c>
      <x:c r="K143" s="27" t="str">
        <x:f>IF(AND(B143&lt;&gt;"",D143&lt;&gt;"",COUNT(F143:H143)=3),IF(AND(G143&gt;=0,G143=INT(G143)),2*F143/(2*F143+G143+H143),""),"")</x:f>
      </x:c>
      <x:c r="L143" s="22"/>
    </x:row>
    <x:row r="144" ht="36" customHeight="1">
      <x:c r="A144" s="14" t="str">
        <x:v>EXEC-136</x:v>
      </x:c>
      <x:c r="B144" s="19"/>
      <x:c r="C144" s="19"/>
      <x:c r="D144" s="24"/>
      <x:c r="E144" s="25"/>
      <x:c r="F144" s="26" t="str">
        <x:f>IF(OR(C144="",E144=""),"",IF(COUNTIF($Z$3:$Z$58,C144&amp;"|"&amp;E144)=0,"",VLOOKUP(C144&amp;"|"&amp;E144,$Z$3:$AA$58,2,FALSE)))</x:f>
      </x:c>
      <x:c r="G144" s="24"/>
      <x:c r="H144" s="26" t="str">
        <x:f>IF(ISNUMBER(F144),VLOOKUP(C144,$X$3:$Y$12,2,FALSE)-F144,"")</x:f>
      </x:c>
      <x:c r="I144" s="27" t="str">
        <x:f>IF(AND(B144&lt;&gt;"",D144&lt;&gt;"",COUNT(F144:H144)=3),IF(AND(G144&gt;=0,G144=INT(G144)),IF(F144+G144=0,"Indefinida",F144/(F144+G144)),""),"")</x:f>
      </x:c>
      <x:c r="J144" s="27" t="str">
        <x:f>IF(AND(B144&lt;&gt;"",D144&lt;&gt;"",COUNT(F144:H144)=3),IF(AND(G144&gt;=0,G144=INT(G144)),F144/(F144+H144),""),"")</x:f>
      </x:c>
      <x:c r="K144" s="27" t="str">
        <x:f>IF(AND(B144&lt;&gt;"",D144&lt;&gt;"",COUNT(F144:H144)=3),IF(AND(G144&gt;=0,G144=INT(G144)),2*F144/(2*F144+G144+H144),""),"")</x:f>
      </x:c>
      <x:c r="L144" s="22"/>
    </x:row>
    <x:row r="145" ht="36" customHeight="1">
      <x:c r="A145" s="14" t="str">
        <x:v>EXEC-137</x:v>
      </x:c>
      <x:c r="B145" s="19"/>
      <x:c r="C145" s="19"/>
      <x:c r="D145" s="24"/>
      <x:c r="E145" s="25"/>
      <x:c r="F145" s="26" t="str">
        <x:f>IF(OR(C145="",E145=""),"",IF(COUNTIF($Z$3:$Z$58,C145&amp;"|"&amp;E145)=0,"",VLOOKUP(C145&amp;"|"&amp;E145,$Z$3:$AA$58,2,FALSE)))</x:f>
      </x:c>
      <x:c r="G145" s="24"/>
      <x:c r="H145" s="26" t="str">
        <x:f>IF(ISNUMBER(F145),VLOOKUP(C145,$X$3:$Y$12,2,FALSE)-F145,"")</x:f>
      </x:c>
      <x:c r="I145" s="27" t="str">
        <x:f>IF(AND(B145&lt;&gt;"",D145&lt;&gt;"",COUNT(F145:H145)=3),IF(AND(G145&gt;=0,G145=INT(G145)),IF(F145+G145=0,"Indefinida",F145/(F145+G145)),""),"")</x:f>
      </x:c>
      <x:c r="J145" s="27" t="str">
        <x:f>IF(AND(B145&lt;&gt;"",D145&lt;&gt;"",COUNT(F145:H145)=3),IF(AND(G145&gt;=0,G145=INT(G145)),F145/(F145+H145),""),"")</x:f>
      </x:c>
      <x:c r="K145" s="27" t="str">
        <x:f>IF(AND(B145&lt;&gt;"",D145&lt;&gt;"",COUNT(F145:H145)=3),IF(AND(G145&gt;=0,G145=INT(G145)),2*F145/(2*F145+G145+H145),""),"")</x:f>
      </x:c>
      <x:c r="L145" s="22"/>
    </x:row>
    <x:row r="146" ht="36" customHeight="1">
      <x:c r="A146" s="14" t="str">
        <x:v>EXEC-138</x:v>
      </x:c>
      <x:c r="B146" s="19"/>
      <x:c r="C146" s="19"/>
      <x:c r="D146" s="24"/>
      <x:c r="E146" s="25"/>
      <x:c r="F146" s="26" t="str">
        <x:f>IF(OR(C146="",E146=""),"",IF(COUNTIF($Z$3:$Z$58,C146&amp;"|"&amp;E146)=0,"",VLOOKUP(C146&amp;"|"&amp;E146,$Z$3:$AA$58,2,FALSE)))</x:f>
      </x:c>
      <x:c r="G146" s="24"/>
      <x:c r="H146" s="26" t="str">
        <x:f>IF(ISNUMBER(F146),VLOOKUP(C146,$X$3:$Y$12,2,FALSE)-F146,"")</x:f>
      </x:c>
      <x:c r="I146" s="27" t="str">
        <x:f>IF(AND(B146&lt;&gt;"",D146&lt;&gt;"",COUNT(F146:H146)=3),IF(AND(G146&gt;=0,G146=INT(G146)),IF(F146+G146=0,"Indefinida",F146/(F146+G146)),""),"")</x:f>
      </x:c>
      <x:c r="J146" s="27" t="str">
        <x:f>IF(AND(B146&lt;&gt;"",D146&lt;&gt;"",COUNT(F146:H146)=3),IF(AND(G146&gt;=0,G146=INT(G146)),F146/(F146+H146),""),"")</x:f>
      </x:c>
      <x:c r="K146" s="27" t="str">
        <x:f>IF(AND(B146&lt;&gt;"",D146&lt;&gt;"",COUNT(F146:H146)=3),IF(AND(G146&gt;=0,G146=INT(G146)),2*F146/(2*F146+G146+H146),""),"")</x:f>
      </x:c>
      <x:c r="L146" s="22"/>
    </x:row>
    <x:row r="147" ht="36" customHeight="1">
      <x:c r="A147" s="14" t="str">
        <x:v>EXEC-139</x:v>
      </x:c>
      <x:c r="B147" s="19"/>
      <x:c r="C147" s="19"/>
      <x:c r="D147" s="24"/>
      <x:c r="E147" s="25"/>
      <x:c r="F147" s="26" t="str">
        <x:f>IF(OR(C147="",E147=""),"",IF(COUNTIF($Z$3:$Z$58,C147&amp;"|"&amp;E147)=0,"",VLOOKUP(C147&amp;"|"&amp;E147,$Z$3:$AA$58,2,FALSE)))</x:f>
      </x:c>
      <x:c r="G147" s="24"/>
      <x:c r="H147" s="26" t="str">
        <x:f>IF(ISNUMBER(F147),VLOOKUP(C147,$X$3:$Y$12,2,FALSE)-F147,"")</x:f>
      </x:c>
      <x:c r="I147" s="27" t="str">
        <x:f>IF(AND(B147&lt;&gt;"",D147&lt;&gt;"",COUNT(F147:H147)=3),IF(AND(G147&gt;=0,G147=INT(G147)),IF(F147+G147=0,"Indefinida",F147/(F147+G147)),""),"")</x:f>
      </x:c>
      <x:c r="J147" s="27" t="str">
        <x:f>IF(AND(B147&lt;&gt;"",D147&lt;&gt;"",COUNT(F147:H147)=3),IF(AND(G147&gt;=0,G147=INT(G147)),F147/(F147+H147),""),"")</x:f>
      </x:c>
      <x:c r="K147" s="27" t="str">
        <x:f>IF(AND(B147&lt;&gt;"",D147&lt;&gt;"",COUNT(F147:H147)=3),IF(AND(G147&gt;=0,G147=INT(G147)),2*F147/(2*F147+G147+H147),""),"")</x:f>
      </x:c>
      <x:c r="L147" s="22"/>
    </x:row>
    <x:row r="148" ht="36" customHeight="1">
      <x:c r="A148" s="14" t="str">
        <x:v>EXEC-140</x:v>
      </x:c>
      <x:c r="B148" s="19"/>
      <x:c r="C148" s="19"/>
      <x:c r="D148" s="24"/>
      <x:c r="E148" s="25"/>
      <x:c r="F148" s="26" t="str">
        <x:f>IF(OR(C148="",E148=""),"",IF(COUNTIF($Z$3:$Z$58,C148&amp;"|"&amp;E148)=0,"",VLOOKUP(C148&amp;"|"&amp;E148,$Z$3:$AA$58,2,FALSE)))</x:f>
      </x:c>
      <x:c r="G148" s="24"/>
      <x:c r="H148" s="26" t="str">
        <x:f>IF(ISNUMBER(F148),VLOOKUP(C148,$X$3:$Y$12,2,FALSE)-F148,"")</x:f>
      </x:c>
      <x:c r="I148" s="27" t="str">
        <x:f>IF(AND(B148&lt;&gt;"",D148&lt;&gt;"",COUNT(F148:H148)=3),IF(AND(G148&gt;=0,G148=INT(G148)),IF(F148+G148=0,"Indefinida",F148/(F148+G148)),""),"")</x:f>
      </x:c>
      <x:c r="J148" s="27" t="str">
        <x:f>IF(AND(B148&lt;&gt;"",D148&lt;&gt;"",COUNT(F148:H148)=3),IF(AND(G148&gt;=0,G148=INT(G148)),F148/(F148+H148),""),"")</x:f>
      </x:c>
      <x:c r="K148" s="27" t="str">
        <x:f>IF(AND(B148&lt;&gt;"",D148&lt;&gt;"",COUNT(F148:H148)=3),IF(AND(G148&gt;=0,G148=INT(G148)),2*F148/(2*F148+G148+H148),""),"")</x:f>
      </x:c>
      <x:c r="L148" s="22"/>
    </x:row>
    <x:row r="149" ht="36" customHeight="1">
      <x:c r="A149" s="14" t="str">
        <x:v>EXEC-141</x:v>
      </x:c>
      <x:c r="B149" s="19"/>
      <x:c r="C149" s="19"/>
      <x:c r="D149" s="24"/>
      <x:c r="E149" s="25"/>
      <x:c r="F149" s="26" t="str">
        <x:f>IF(OR(C149="",E149=""),"",IF(COUNTIF($Z$3:$Z$58,C149&amp;"|"&amp;E149)=0,"",VLOOKUP(C149&amp;"|"&amp;E149,$Z$3:$AA$58,2,FALSE)))</x:f>
      </x:c>
      <x:c r="G149" s="24"/>
      <x:c r="H149" s="26" t="str">
        <x:f>IF(ISNUMBER(F149),VLOOKUP(C149,$X$3:$Y$12,2,FALSE)-F149,"")</x:f>
      </x:c>
      <x:c r="I149" s="27" t="str">
        <x:f>IF(AND(B149&lt;&gt;"",D149&lt;&gt;"",COUNT(F149:H149)=3),IF(AND(G149&gt;=0,G149=INT(G149)),IF(F149+G149=0,"Indefinida",F149/(F149+G149)),""),"")</x:f>
      </x:c>
      <x:c r="J149" s="27" t="str">
        <x:f>IF(AND(B149&lt;&gt;"",D149&lt;&gt;"",COUNT(F149:H149)=3),IF(AND(G149&gt;=0,G149=INT(G149)),F149/(F149+H149),""),"")</x:f>
      </x:c>
      <x:c r="K149" s="27" t="str">
        <x:f>IF(AND(B149&lt;&gt;"",D149&lt;&gt;"",COUNT(F149:H149)=3),IF(AND(G149&gt;=0,G149=INT(G149)),2*F149/(2*F149+G149+H149),""),"")</x:f>
      </x:c>
      <x:c r="L149" s="22"/>
    </x:row>
    <x:row r="150" ht="36" customHeight="1">
      <x:c r="A150" s="14" t="str">
        <x:v>EXEC-142</x:v>
      </x:c>
      <x:c r="B150" s="19"/>
      <x:c r="C150" s="19"/>
      <x:c r="D150" s="24"/>
      <x:c r="E150" s="25"/>
      <x:c r="F150" s="26" t="str">
        <x:f>IF(OR(C150="",E150=""),"",IF(COUNTIF($Z$3:$Z$58,C150&amp;"|"&amp;E150)=0,"",VLOOKUP(C150&amp;"|"&amp;E150,$Z$3:$AA$58,2,FALSE)))</x:f>
      </x:c>
      <x:c r="G150" s="24"/>
      <x:c r="H150" s="26" t="str">
        <x:f>IF(ISNUMBER(F150),VLOOKUP(C150,$X$3:$Y$12,2,FALSE)-F150,"")</x:f>
      </x:c>
      <x:c r="I150" s="27" t="str">
        <x:f>IF(AND(B150&lt;&gt;"",D150&lt;&gt;"",COUNT(F150:H150)=3),IF(AND(G150&gt;=0,G150=INT(G150)),IF(F150+G150=0,"Indefinida",F150/(F150+G150)),""),"")</x:f>
      </x:c>
      <x:c r="J150" s="27" t="str">
        <x:f>IF(AND(B150&lt;&gt;"",D150&lt;&gt;"",COUNT(F150:H150)=3),IF(AND(G150&gt;=0,G150=INT(G150)),F150/(F150+H150),""),"")</x:f>
      </x:c>
      <x:c r="K150" s="27" t="str">
        <x:f>IF(AND(B150&lt;&gt;"",D150&lt;&gt;"",COUNT(F150:H150)=3),IF(AND(G150&gt;=0,G150=INT(G150)),2*F150/(2*F150+G150+H150),""),"")</x:f>
      </x:c>
      <x:c r="L150" s="22"/>
    </x:row>
    <x:row r="151" ht="36" customHeight="1">
      <x:c r="A151" s="14" t="str">
        <x:v>EXEC-143</x:v>
      </x:c>
      <x:c r="B151" s="19"/>
      <x:c r="C151" s="19"/>
      <x:c r="D151" s="24"/>
      <x:c r="E151" s="25"/>
      <x:c r="F151" s="26" t="str">
        <x:f>IF(OR(C151="",E151=""),"",IF(COUNTIF($Z$3:$Z$58,C151&amp;"|"&amp;E151)=0,"",VLOOKUP(C151&amp;"|"&amp;E151,$Z$3:$AA$58,2,FALSE)))</x:f>
      </x:c>
      <x:c r="G151" s="24"/>
      <x:c r="H151" s="26" t="str">
        <x:f>IF(ISNUMBER(F151),VLOOKUP(C151,$X$3:$Y$12,2,FALSE)-F151,"")</x:f>
      </x:c>
      <x:c r="I151" s="27" t="str">
        <x:f>IF(AND(B151&lt;&gt;"",D151&lt;&gt;"",COUNT(F151:H151)=3),IF(AND(G151&gt;=0,G151=INT(G151)),IF(F151+G151=0,"Indefinida",F151/(F151+G151)),""),"")</x:f>
      </x:c>
      <x:c r="J151" s="27" t="str">
        <x:f>IF(AND(B151&lt;&gt;"",D151&lt;&gt;"",COUNT(F151:H151)=3),IF(AND(G151&gt;=0,G151=INT(G151)),F151/(F151+H151),""),"")</x:f>
      </x:c>
      <x:c r="K151" s="27" t="str">
        <x:f>IF(AND(B151&lt;&gt;"",D151&lt;&gt;"",COUNT(F151:H151)=3),IF(AND(G151&gt;=0,G151=INT(G151)),2*F151/(2*F151+G151+H151),""),"")</x:f>
      </x:c>
      <x:c r="L151" s="22"/>
    </x:row>
    <x:row r="152" ht="36" customHeight="1">
      <x:c r="A152" s="14" t="str">
        <x:v>EXEC-144</x:v>
      </x:c>
      <x:c r="B152" s="19"/>
      <x:c r="C152" s="19"/>
      <x:c r="D152" s="24"/>
      <x:c r="E152" s="25"/>
      <x:c r="F152" s="26" t="str">
        <x:f>IF(OR(C152="",E152=""),"",IF(COUNTIF($Z$3:$Z$58,C152&amp;"|"&amp;E152)=0,"",VLOOKUP(C152&amp;"|"&amp;E152,$Z$3:$AA$58,2,FALSE)))</x:f>
      </x:c>
      <x:c r="G152" s="24"/>
      <x:c r="H152" s="26" t="str">
        <x:f>IF(ISNUMBER(F152),VLOOKUP(C152,$X$3:$Y$12,2,FALSE)-F152,"")</x:f>
      </x:c>
      <x:c r="I152" s="27" t="str">
        <x:f>IF(AND(B152&lt;&gt;"",D152&lt;&gt;"",COUNT(F152:H152)=3),IF(AND(G152&gt;=0,G152=INT(G152)),IF(F152+G152=0,"Indefinida",F152/(F152+G152)),""),"")</x:f>
      </x:c>
      <x:c r="J152" s="27" t="str">
        <x:f>IF(AND(B152&lt;&gt;"",D152&lt;&gt;"",COUNT(F152:H152)=3),IF(AND(G152&gt;=0,G152=INT(G152)),F152/(F152+H152),""),"")</x:f>
      </x:c>
      <x:c r="K152" s="27" t="str">
        <x:f>IF(AND(B152&lt;&gt;"",D152&lt;&gt;"",COUNT(F152:H152)=3),IF(AND(G152&gt;=0,G152=INT(G152)),2*F152/(2*F152+G152+H152),""),"")</x:f>
      </x:c>
      <x:c r="L152" s="22"/>
    </x:row>
    <x:row r="153" ht="36" customHeight="1">
      <x:c r="A153" s="14" t="str">
        <x:v>EXEC-145</x:v>
      </x:c>
      <x:c r="B153" s="19"/>
      <x:c r="C153" s="19"/>
      <x:c r="D153" s="24"/>
      <x:c r="E153" s="25"/>
      <x:c r="F153" s="26" t="str">
        <x:f>IF(OR(C153="",E153=""),"",IF(COUNTIF($Z$3:$Z$58,C153&amp;"|"&amp;E153)=0,"",VLOOKUP(C153&amp;"|"&amp;E153,$Z$3:$AA$58,2,FALSE)))</x:f>
      </x:c>
      <x:c r="G153" s="24"/>
      <x:c r="H153" s="26" t="str">
        <x:f>IF(ISNUMBER(F153),VLOOKUP(C153,$X$3:$Y$12,2,FALSE)-F153,"")</x:f>
      </x:c>
      <x:c r="I153" s="27" t="str">
        <x:f>IF(AND(B153&lt;&gt;"",D153&lt;&gt;"",COUNT(F153:H153)=3),IF(AND(G153&gt;=0,G153=INT(G153)),IF(F153+G153=0,"Indefinida",F153/(F153+G153)),""),"")</x:f>
      </x:c>
      <x:c r="J153" s="27" t="str">
        <x:f>IF(AND(B153&lt;&gt;"",D153&lt;&gt;"",COUNT(F153:H153)=3),IF(AND(G153&gt;=0,G153=INT(G153)),F153/(F153+H153),""),"")</x:f>
      </x:c>
      <x:c r="K153" s="27" t="str">
        <x:f>IF(AND(B153&lt;&gt;"",D153&lt;&gt;"",COUNT(F153:H153)=3),IF(AND(G153&gt;=0,G153=INT(G153)),2*F153/(2*F153+G153+H153),""),"")</x:f>
      </x:c>
      <x:c r="L153" s="22"/>
    </x:row>
    <x:row r="154" ht="36" customHeight="1">
      <x:c r="A154" s="14" t="str">
        <x:v>EXEC-146</x:v>
      </x:c>
      <x:c r="B154" s="19"/>
      <x:c r="C154" s="19"/>
      <x:c r="D154" s="24"/>
      <x:c r="E154" s="25"/>
      <x:c r="F154" s="26" t="str">
        <x:f>IF(OR(C154="",E154=""),"",IF(COUNTIF($Z$3:$Z$58,C154&amp;"|"&amp;E154)=0,"",VLOOKUP(C154&amp;"|"&amp;E154,$Z$3:$AA$58,2,FALSE)))</x:f>
      </x:c>
      <x:c r="G154" s="24"/>
      <x:c r="H154" s="26" t="str">
        <x:f>IF(ISNUMBER(F154),VLOOKUP(C154,$X$3:$Y$12,2,FALSE)-F154,"")</x:f>
      </x:c>
      <x:c r="I154" s="27" t="str">
        <x:f>IF(AND(B154&lt;&gt;"",D154&lt;&gt;"",COUNT(F154:H154)=3),IF(AND(G154&gt;=0,G154=INT(G154)),IF(F154+G154=0,"Indefinida",F154/(F154+G154)),""),"")</x:f>
      </x:c>
      <x:c r="J154" s="27" t="str">
        <x:f>IF(AND(B154&lt;&gt;"",D154&lt;&gt;"",COUNT(F154:H154)=3),IF(AND(G154&gt;=0,G154=INT(G154)),F154/(F154+H154),""),"")</x:f>
      </x:c>
      <x:c r="K154" s="27" t="str">
        <x:f>IF(AND(B154&lt;&gt;"",D154&lt;&gt;"",COUNT(F154:H154)=3),IF(AND(G154&gt;=0,G154=INT(G154)),2*F154/(2*F154+G154+H154),""),"")</x:f>
      </x:c>
      <x:c r="L154" s="22"/>
    </x:row>
    <x:row r="155" ht="36" customHeight="1">
      <x:c r="A155" s="14" t="str">
        <x:v>EXEC-147</x:v>
      </x:c>
      <x:c r="B155" s="19"/>
      <x:c r="C155" s="19"/>
      <x:c r="D155" s="24"/>
      <x:c r="E155" s="25"/>
      <x:c r="F155" s="26" t="str">
        <x:f>IF(OR(C155="",E155=""),"",IF(COUNTIF($Z$3:$Z$58,C155&amp;"|"&amp;E155)=0,"",VLOOKUP(C155&amp;"|"&amp;E155,$Z$3:$AA$58,2,FALSE)))</x:f>
      </x:c>
      <x:c r="G155" s="24"/>
      <x:c r="H155" s="26" t="str">
        <x:f>IF(ISNUMBER(F155),VLOOKUP(C155,$X$3:$Y$12,2,FALSE)-F155,"")</x:f>
      </x:c>
      <x:c r="I155" s="27" t="str">
        <x:f>IF(AND(B155&lt;&gt;"",D155&lt;&gt;"",COUNT(F155:H155)=3),IF(AND(G155&gt;=0,G155=INT(G155)),IF(F155+G155=0,"Indefinida",F155/(F155+G155)),""),"")</x:f>
      </x:c>
      <x:c r="J155" s="27" t="str">
        <x:f>IF(AND(B155&lt;&gt;"",D155&lt;&gt;"",COUNT(F155:H155)=3),IF(AND(G155&gt;=0,G155=INT(G155)),F155/(F155+H155),""),"")</x:f>
      </x:c>
      <x:c r="K155" s="27" t="str">
        <x:f>IF(AND(B155&lt;&gt;"",D155&lt;&gt;"",COUNT(F155:H155)=3),IF(AND(G155&gt;=0,G155=INT(G155)),2*F155/(2*F155+G155+H155),""),"")</x:f>
      </x:c>
      <x:c r="L155" s="22"/>
    </x:row>
    <x:row r="156" ht="36" customHeight="1">
      <x:c r="A156" s="14" t="str">
        <x:v>EXEC-148</x:v>
      </x:c>
      <x:c r="B156" s="19"/>
      <x:c r="C156" s="19"/>
      <x:c r="D156" s="24"/>
      <x:c r="E156" s="25"/>
      <x:c r="F156" s="26" t="str">
        <x:f>IF(OR(C156="",E156=""),"",IF(COUNTIF($Z$3:$Z$58,C156&amp;"|"&amp;E156)=0,"",VLOOKUP(C156&amp;"|"&amp;E156,$Z$3:$AA$58,2,FALSE)))</x:f>
      </x:c>
      <x:c r="G156" s="24"/>
      <x:c r="H156" s="26" t="str">
        <x:f>IF(ISNUMBER(F156),VLOOKUP(C156,$X$3:$Y$12,2,FALSE)-F156,"")</x:f>
      </x:c>
      <x:c r="I156" s="27" t="str">
        <x:f>IF(AND(B156&lt;&gt;"",D156&lt;&gt;"",COUNT(F156:H156)=3),IF(AND(G156&gt;=0,G156=INT(G156)),IF(F156+G156=0,"Indefinida",F156/(F156+G156)),""),"")</x:f>
      </x:c>
      <x:c r="J156" s="27" t="str">
        <x:f>IF(AND(B156&lt;&gt;"",D156&lt;&gt;"",COUNT(F156:H156)=3),IF(AND(G156&gt;=0,G156=INT(G156)),F156/(F156+H156),""),"")</x:f>
      </x:c>
      <x:c r="K156" s="27" t="str">
        <x:f>IF(AND(B156&lt;&gt;"",D156&lt;&gt;"",COUNT(F156:H156)=3),IF(AND(G156&gt;=0,G156=INT(G156)),2*F156/(2*F156+G156+H156),""),"")</x:f>
      </x:c>
      <x:c r="L156" s="22"/>
    </x:row>
    <x:row r="157" ht="36" customHeight="1">
      <x:c r="A157" s="14" t="str">
        <x:v>EXEC-149</x:v>
      </x:c>
      <x:c r="B157" s="19"/>
      <x:c r="C157" s="19"/>
      <x:c r="D157" s="24"/>
      <x:c r="E157" s="25"/>
      <x:c r="F157" s="26" t="str">
        <x:f>IF(OR(C157="",E157=""),"",IF(COUNTIF($Z$3:$Z$58,C157&amp;"|"&amp;E157)=0,"",VLOOKUP(C157&amp;"|"&amp;E157,$Z$3:$AA$58,2,FALSE)))</x:f>
      </x:c>
      <x:c r="G157" s="24"/>
      <x:c r="H157" s="26" t="str">
        <x:f>IF(ISNUMBER(F157),VLOOKUP(C157,$X$3:$Y$12,2,FALSE)-F157,"")</x:f>
      </x:c>
      <x:c r="I157" s="27" t="str">
        <x:f>IF(AND(B157&lt;&gt;"",D157&lt;&gt;"",COUNT(F157:H157)=3),IF(AND(G157&gt;=0,G157=INT(G157)),IF(F157+G157=0,"Indefinida",F157/(F157+G157)),""),"")</x:f>
      </x:c>
      <x:c r="J157" s="27" t="str">
        <x:f>IF(AND(B157&lt;&gt;"",D157&lt;&gt;"",COUNT(F157:H157)=3),IF(AND(G157&gt;=0,G157=INT(G157)),F157/(F157+H157),""),"")</x:f>
      </x:c>
      <x:c r="K157" s="27" t="str">
        <x:f>IF(AND(B157&lt;&gt;"",D157&lt;&gt;"",COUNT(F157:H157)=3),IF(AND(G157&gt;=0,G157=INT(G157)),2*F157/(2*F157+G157+H157),""),"")</x:f>
      </x:c>
      <x:c r="L157" s="22"/>
    </x:row>
    <x:row r="158" ht="36" customHeight="1">
      <x:c r="A158" s="14" t="str">
        <x:v>EXEC-150</x:v>
      </x:c>
      <x:c r="B158" s="19"/>
      <x:c r="C158" s="19"/>
      <x:c r="D158" s="24"/>
      <x:c r="E158" s="25"/>
      <x:c r="F158" s="26" t="str">
        <x:f>IF(OR(C158="",E158=""),"",IF(COUNTIF($Z$3:$Z$58,C158&amp;"|"&amp;E158)=0,"",VLOOKUP(C158&amp;"|"&amp;E158,$Z$3:$AA$58,2,FALSE)))</x:f>
      </x:c>
      <x:c r="G158" s="24"/>
      <x:c r="H158" s="26" t="str">
        <x:f>IF(ISNUMBER(F158),VLOOKUP(C158,$X$3:$Y$12,2,FALSE)-F158,"")</x:f>
      </x:c>
      <x:c r="I158" s="27" t="str">
        <x:f>IF(AND(B158&lt;&gt;"",D158&lt;&gt;"",COUNT(F158:H158)=3),IF(AND(G158&gt;=0,G158=INT(G158)),IF(F158+G158=0,"Indefinida",F158/(F158+G158)),""),"")</x:f>
      </x:c>
      <x:c r="J158" s="27" t="str">
        <x:f>IF(AND(B158&lt;&gt;"",D158&lt;&gt;"",COUNT(F158:H158)=3),IF(AND(G158&gt;=0,G158=INT(G158)),F158/(F158+H158),""),"")</x:f>
      </x:c>
      <x:c r="K158" s="27" t="str">
        <x:f>IF(AND(B158&lt;&gt;"",D158&lt;&gt;"",COUNT(F158:H158)=3),IF(AND(G158&gt;=0,G158=INT(G158)),2*F158/(2*F158+G158+H158),""),"")</x:f>
      </x:c>
      <x:c r="L158" s="22"/>
    </x:row>
    <x:row r="159" ht="22" customHeight="1">
      <x:c r="A159"/>
      <x:c r="B159"/>
      <x:c r="C159"/>
      <x:c r="D159"/>
      <x:c r="E159"/>
      <x:c r="F159"/>
      <x:c r="G159"/>
      <x:c r="H159"/>
      <x:c r="I159"/>
      <x:c r="J159"/>
      <x:c r="K159"/>
      <x:c r="L159"/>
    </x:row>
    <x:row r="160" ht="22" customHeight="1">
      <x:c r="A160"/>
      <x:c r="B160"/>
      <x:c r="C160"/>
      <x:c r="D160"/>
      <x:c r="E160"/>
      <x:c r="F160"/>
      <x:c r="G160"/>
      <x:c r="H160"/>
      <x:c r="I160"/>
      <x:c r="J160"/>
      <x:c r="K160"/>
      <x:c r="L160"/>
    </x:row>
    <x:row r="161" ht="22" customHeight="1">
      <x:c r="A161" s="56" t="str">
        <x:v>Referência: README das referências de avaliação, versão 3, preparada em 02/10/2026.</x:v>
      </x:c>
      <x:c r="B161" s="56"/>
      <x:c r="C161" s="56"/>
      <x:c r="D161" s="56"/>
      <x:c r="E161" s="56"/>
      <x:c r="F161" s="56"/>
      <x:c r="G161" s="56"/>
      <x:c r="H161" s="56"/>
      <x:c r="I161" s="56"/>
      <x:c r="J161" s="56"/>
      <x:c r="K161" s="56"/>
      <x:c r="L161" s="56"/>
    </x:row>
    <x:row r="162" ht="22" customHeight="1">
      <x:c r="A162" s="56" t="str">
        <x:v>Vermelho indica uma combinação de problemas incompatível com o código ou uma execução duplicada.</x:v>
      </x:c>
      <x:c r="B162" s="56"/>
      <x:c r="C162" s="56"/>
      <x:c r="D162" s="56"/>
      <x:c r="E162" s="56"/>
      <x:c r="F162" s="56"/>
      <x:c r="G162" s="56"/>
      <x:c r="H162" s="56"/>
      <x:c r="I162" s="56"/>
      <x:c r="J162" s="56"/>
      <x:c r="K162" s="56"/>
      <x:c r="L162" s="56"/>
    </x:row>
    <x:row r="163" ht="22" customHeight="1">
      <x:c r="A163"/>
      <x:c r="B163"/>
      <x:c r="C163"/>
      <x:c r="D163"/>
      <x:c r="E163"/>
      <x:c r="F163"/>
      <x:c r="G163"/>
      <x:c r="H163"/>
      <x:c r="I163"/>
      <x:c r="J163"/>
      <x:c r="K163"/>
      <x:c r="L163"/>
    </x:row>
    <x:row r="164" ht="36" customHeight="1">
      <x:c r="A164"/>
      <x:c r="B164"/>
      <x:c r="C164"/>
      <x:c r="D164"/>
      <x:c r="E164"/>
      <x:c r="F164"/>
      <x:c r="G164"/>
      <x:c r="H164"/>
      <x:c r="I164"/>
      <x:c r="J164"/>
      <x:c r="K164"/>
      <x:c r="L164"/>
    </x:row>
    <x:row r="165" ht="25" customHeight="1">
      <x:c r="A165"/>
      <x:c r="B165"/>
      <x:c r="C165"/>
      <x:c r="D165"/>
      <x:c r="E165"/>
      <x:c r="F165"/>
      <x:c r="G165"/>
      <x:c r="H165"/>
      <x:c r="I165"/>
      <x:c r="J165"/>
      <x:c r="K165"/>
      <x:c r="L165"/>
    </x:row>
    <x:row r="166" ht="25" customHeight="1">
      <x:c r="A166"/>
      <x:c r="B166"/>
      <x:c r="C166"/>
      <x:c r="D166"/>
      <x:c r="E166"/>
      <x:c r="F166"/>
      <x:c r="G166"/>
      <x:c r="H166"/>
      <x:c r="I166"/>
      <x:c r="J166"/>
      <x:c r="K166"/>
      <x:c r="L166"/>
    </x:row>
    <x:row r="167" ht="25" customHeight="1">
      <x:c r="A167"/>
      <x:c r="B167"/>
      <x:c r="C167"/>
      <x:c r="D167"/>
      <x:c r="E167"/>
      <x:c r="F167"/>
      <x:c r="G167"/>
      <x:c r="H167"/>
      <x:c r="I167"/>
      <x:c r="J167"/>
      <x:c r="K167"/>
      <x:c r="L167"/>
    </x:row>
    <x:row r="168" ht="25" customHeight="1">
      <x:c r="A168"/>
      <x:c r="B168"/>
      <x:c r="C168"/>
      <x:c r="D168"/>
      <x:c r="E168"/>
      <x:c r="F168"/>
      <x:c r="G168"/>
      <x:c r="H168"/>
      <x:c r="I168"/>
      <x:c r="J168"/>
      <x:c r="K168"/>
      <x:c r="L168"/>
    </x:row>
    <x:row r="169" ht="25" customHeight="1">
      <x:c r="A169"/>
      <x:c r="B169"/>
      <x:c r="C169"/>
      <x:c r="D169"/>
      <x:c r="E169"/>
      <x:c r="F169"/>
      <x:c r="G169"/>
      <x:c r="H169"/>
      <x:c r="I169"/>
      <x:c r="J169"/>
      <x:c r="K169"/>
      <x:c r="L169"/>
    </x:row>
    <x:row r="170" ht="25" customHeight="1">
      <x:c r="A170"/>
      <x:c r="B170"/>
      <x:c r="C170"/>
      <x:c r="D170"/>
      <x:c r="E170"/>
      <x:c r="F170"/>
      <x:c r="G170"/>
      <x:c r="H170"/>
      <x:c r="I170"/>
      <x:c r="J170"/>
      <x:c r="K170"/>
      <x:c r="L170"/>
    </x:row>
    <x:row r="171" ht="25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</x:row>
    <x:row r="172" ht="25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</x:row>
    <x:row r="173" ht="25" customHeight="1">
      <x:c r="A173"/>
      <x:c r="B173"/>
      <x:c r="C173"/>
      <x:c r="D173"/>
      <x:c r="E173"/>
      <x:c r="F173"/>
      <x:c r="G173"/>
      <x:c r="H173"/>
      <x:c r="I173"/>
      <x:c r="J173"/>
      <x:c r="K173"/>
      <x:c r="L173"/>
    </x:row>
    <x:row r="174" ht="25" customHeight="1">
      <x:c r="A174"/>
      <x:c r="B174"/>
      <x:c r="C174"/>
      <x:c r="D174"/>
      <x:c r="E174"/>
      <x:c r="F174"/>
      <x:c r="G174"/>
      <x:c r="H174"/>
      <x:c r="I174"/>
      <x:c r="J174"/>
      <x:c r="K174"/>
      <x:c r="L174"/>
    </x:row>
    <x:row r="175" ht="25" customHeight="1">
      <x:c r="A175"/>
      <x:c r="B175"/>
      <x:c r="C175"/>
      <x:c r="D175"/>
      <x:c r="E175"/>
      <x:c r="F175"/>
      <x:c r="G175"/>
      <x:c r="H175"/>
      <x:c r="I175"/>
      <x:c r="J175"/>
      <x:c r="K175"/>
      <x:c r="L175"/>
    </x:row>
    <x:row r="176" ht="25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</x:row>
    <x:row r="177" ht="25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</x:row>
    <x:row r="178" ht="25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</x:row>
    <x:row r="179" ht="25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</x:row>
    <x:row r="180" ht="22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</x:row>
    <x:row r="181" ht="22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</x:row>
    <x:row r="182" ht="22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</x:row>
    <x:row r="183" ht="22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</x:row>
    <x:row r="184" ht="22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</x:row>
    <x:row r="185" ht="74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</x:row>
    <x:row r="186" ht="30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</x:row>
    <x:row r="187" ht="30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</x:row>
    <x:row r="188" ht="30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</x:row>
    <x:row r="189" ht="22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</x:row>
    <x:row r="190" ht="22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</x:row>
    <x:row r="191" ht="22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</x:row>
    <x:row r="192" ht="22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</x:row>
    <x:row r="193" ht="22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</x:row>
    <x:row r="194" ht="22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</x:row>
    <x:row r="195" ht="22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</x:row>
    <x:row r="196" ht="22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</x:row>
    <x:row r="197" ht="22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</x:row>
    <x:row r="198" ht="22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</x:row>
    <x:row r="199" ht="22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</x:row>
    <x:row r="200" ht="22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</x:row>
    <x:row r="201" ht="22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</x:row>
    <x:row r="202" ht="22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</x:row>
    <x:row r="203" ht="22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</x:row>
    <x:row r="204" ht="22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</x:row>
    <x:row r="205" ht="22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</x:row>
    <x:row r="206" ht="22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</x:row>
    <x:row r="207" ht="22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</x:row>
    <x:row r="208" ht="22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</x:row>
    <x:row r="209" ht="22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</x:row>
    <x:row r="210" ht="22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</x:row>
    <x:row r="211" ht="22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</x:row>
    <x:row r="212" ht="22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</x:row>
    <x:row r="213" ht="22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</x:row>
    <x:row r="214" ht="22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</x:row>
    <x:row r="215" ht="22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</x:row>
    <x:row r="216" ht="22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</x:row>
    <x:row r="217" ht="22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</x:row>
    <x:row r="218" ht="22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</x:row>
    <x:row r="219" ht="22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</x:row>
    <x:row r="220" ht="22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</x:row>
    <x:row r="221" ht="22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</x:row>
    <x:row r="222" ht="22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</x:row>
    <x:row r="223" ht="22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</x:row>
    <x:row r="224" ht="22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</x:row>
    <x:row r="225" ht="22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</x:row>
    <x:row r="226" ht="22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</x:row>
    <x:row r="227" ht="22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</x:row>
    <x:row r="228" ht="22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</x:row>
    <x:row r="229" ht="22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</x:row>
    <x:row r="230" ht="22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</x:row>
    <x:row r="231" ht="22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</x:row>
    <x:row r="232" ht="22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</x:row>
    <x:row r="233" ht="22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</x:row>
    <x:row r="234" ht="22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</x:row>
    <x:row r="235" ht="22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</x:row>
    <x:row r="236" ht="22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</x:row>
    <x:row r="237" ht="22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</x:row>
    <x:row r="238" ht="22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</x:row>
    <x:row r="239" ht="22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</x:row>
    <x:row r="240" ht="22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</x:row>
    <x:row r="241" ht="22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</x:row>
    <x:row r="242" ht="22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</x:row>
    <x:row r="243" ht="22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</x:row>
    <x:row r="244" ht="22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</x:row>
    <x:row r="245" ht="22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</x:row>
    <x:row r="246" ht="22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</x:row>
    <x:row r="247" ht="22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</x:row>
    <x:row r="248" ht="22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</x:row>
    <x:row r="249" ht="22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</x:row>
    <x:row r="250" ht="22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</x:row>
    <x:row r="251" ht="22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</x:row>
    <x:row r="252" ht="22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</x:row>
    <x:row r="253" ht="22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</x:row>
    <x:row r="254" ht="22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</x:row>
    <x:row r="255" ht="22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</x:row>
    <x:row r="256" ht="22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</x:row>
    <x:row r="257" ht="22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</x:row>
    <x:row r="258" ht="22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</x:row>
    <x:row r="259" ht="22" customHeight="1">
      <x:c r="A259"/>
      <x:c r="B259"/>
      <x:c r="C259"/>
      <x:c r="D259"/>
      <x:c r="E259"/>
      <x:c r="F259"/>
      <x:c r="G259"/>
      <x:c r="H259"/>
      <x:c r="I259"/>
      <x:c r="J259"/>
      <x:c r="K259"/>
      <x:c r="L259"/>
    </x:row>
    <x:row r="260" ht="22" customHeight="1">
      <x:c r="A260"/>
      <x:c r="B260"/>
      <x:c r="C260"/>
      <x:c r="D260"/>
      <x:c r="E260"/>
      <x:c r="F260"/>
      <x:c r="G260"/>
      <x:c r="H260"/>
      <x:c r="I260"/>
      <x:c r="J260"/>
      <x:c r="K260"/>
      <x:c r="L260"/>
    </x:row>
    <x:row r="261" ht="22" customHeight="1">
      <x:c r="A261"/>
      <x:c r="B261"/>
      <x:c r="C261"/>
      <x:c r="D261"/>
      <x:c r="E261"/>
      <x:c r="F261"/>
      <x:c r="G261"/>
      <x:c r="H261"/>
      <x:c r="I261"/>
      <x:c r="J261"/>
      <x:c r="K261"/>
      <x:c r="L261"/>
    </x:row>
    <x:row r="262" ht="22" customHeight="1">
      <x:c r="A262"/>
      <x:c r="B262"/>
      <x:c r="C262"/>
      <x:c r="D262"/>
      <x:c r="E262"/>
      <x:c r="F262"/>
      <x:c r="G262"/>
      <x:c r="H262"/>
      <x:c r="I262"/>
      <x:c r="J262"/>
      <x:c r="K262"/>
      <x:c r="L262"/>
    </x:row>
    <x:row r="263" ht="22" customHeight="1">
      <x:c r="A263"/>
      <x:c r="B263"/>
      <x:c r="C263"/>
      <x:c r="D263"/>
      <x:c r="E263"/>
      <x:c r="F263"/>
      <x:c r="G263"/>
      <x:c r="H263"/>
      <x:c r="I263"/>
      <x:c r="J263"/>
      <x:c r="K263"/>
      <x:c r="L263"/>
    </x:row>
    <x:row r="264" ht="22" customHeight="1">
      <x:c r="A264"/>
      <x:c r="B264"/>
      <x:c r="C264"/>
      <x:c r="D264"/>
      <x:c r="E264"/>
      <x:c r="F264"/>
      <x:c r="G264"/>
      <x:c r="H264"/>
      <x:c r="I264"/>
      <x:c r="J264"/>
      <x:c r="K264"/>
      <x:c r="L264"/>
    </x:row>
    <x:row r="265" ht="22" customHeight="1">
      <x:c r="A265"/>
      <x:c r="B265"/>
      <x:c r="C265"/>
      <x:c r="D265"/>
      <x:c r="E265"/>
      <x:c r="F265"/>
      <x:c r="G265"/>
      <x:c r="H265"/>
      <x:c r="I265"/>
      <x:c r="J265"/>
      <x:c r="K265"/>
      <x:c r="L265"/>
    </x:row>
    <x:row r="266" ht="22" customHeight="1">
      <x:c r="A266"/>
      <x:c r="B266"/>
      <x:c r="C266"/>
      <x:c r="D266"/>
      <x:c r="E266"/>
      <x:c r="F266"/>
      <x:c r="G266"/>
      <x:c r="H266"/>
      <x:c r="I266"/>
      <x:c r="J266"/>
      <x:c r="K266"/>
      <x:c r="L266"/>
    </x:row>
    <x:row r="267" ht="22" customHeight="1">
      <x:c r="A267"/>
      <x:c r="B267"/>
      <x:c r="C267"/>
      <x:c r="D267"/>
      <x:c r="E267"/>
      <x:c r="F267"/>
      <x:c r="G267"/>
      <x:c r="H267"/>
      <x:c r="I267"/>
      <x:c r="J267"/>
      <x:c r="K267"/>
      <x:c r="L267"/>
    </x:row>
    <x:row r="268" ht="22" customHeight="1">
      <x:c r="A268"/>
      <x:c r="B268"/>
      <x:c r="C268"/>
      <x:c r="D268"/>
      <x:c r="E268"/>
      <x:c r="F268"/>
      <x:c r="G268"/>
      <x:c r="H268"/>
      <x:c r="I268"/>
      <x:c r="J268"/>
      <x:c r="K268"/>
      <x:c r="L268"/>
    </x:row>
    <x:row r="269" ht="22" customHeight="1">
      <x:c r="A269"/>
      <x:c r="B269"/>
      <x:c r="C269"/>
      <x:c r="D269"/>
      <x:c r="E269"/>
      <x:c r="F269"/>
      <x:c r="G269"/>
      <x:c r="H269"/>
      <x:c r="I269"/>
      <x:c r="J269"/>
      <x:c r="K269"/>
      <x:c r="L269"/>
    </x:row>
    <x:row r="270" ht="22" customHeight="1">
      <x:c r="A270"/>
      <x:c r="B270"/>
      <x:c r="C270"/>
      <x:c r="D270"/>
      <x:c r="E270"/>
      <x:c r="F270"/>
      <x:c r="G270"/>
      <x:c r="H270"/>
      <x:c r="I270"/>
      <x:c r="J270"/>
      <x:c r="K270"/>
      <x:c r="L270"/>
    </x:row>
    <x:row r="271" ht="22" customHeight="1">
      <x:c r="A271"/>
      <x:c r="B271"/>
      <x:c r="C271"/>
      <x:c r="D271"/>
      <x:c r="E271"/>
      <x:c r="F271"/>
      <x:c r="G271"/>
      <x:c r="H271"/>
      <x:c r="I271"/>
      <x:c r="J271"/>
      <x:c r="K271"/>
      <x:c r="L271"/>
    </x:row>
    <x:row r="272" ht="22" customHeight="1">
      <x:c r="A272"/>
      <x:c r="B272"/>
      <x:c r="C272"/>
      <x:c r="D272"/>
      <x:c r="E272"/>
      <x:c r="F272"/>
      <x:c r="G272"/>
      <x:c r="H272"/>
      <x:c r="I272"/>
      <x:c r="J272"/>
      <x:c r="K272"/>
      <x:c r="L272"/>
    </x:row>
    <x:row r="273" ht="22" customHeight="1">
      <x:c r="A273"/>
      <x:c r="B273"/>
      <x:c r="C273"/>
      <x:c r="D273"/>
      <x:c r="E273"/>
      <x:c r="F273"/>
      <x:c r="G273"/>
      <x:c r="H273"/>
      <x:c r="I273"/>
      <x:c r="J273"/>
      <x:c r="K273"/>
      <x:c r="L273"/>
    </x:row>
    <x:row r="274" ht="22" customHeight="1">
      <x:c r="A274"/>
      <x:c r="B274"/>
      <x:c r="C274"/>
      <x:c r="D274"/>
      <x:c r="E274"/>
      <x:c r="F274"/>
      <x:c r="G274"/>
      <x:c r="H274"/>
      <x:c r="I274"/>
      <x:c r="J274"/>
      <x:c r="K274"/>
      <x:c r="L274"/>
    </x:row>
    <x:row r="275" ht="22" customHeight="1">
      <x:c r="A275"/>
      <x:c r="B275"/>
      <x:c r="C275"/>
      <x:c r="D275"/>
      <x:c r="E275"/>
      <x:c r="F275"/>
      <x:c r="G275"/>
      <x:c r="H275"/>
      <x:c r="I275"/>
      <x:c r="J275"/>
      <x:c r="K275"/>
      <x:c r="L275"/>
    </x:row>
    <x:row r="276" ht="22" customHeight="1">
      <x:c r="A276"/>
      <x:c r="B276"/>
      <x:c r="C276"/>
      <x:c r="D276"/>
      <x:c r="E276"/>
      <x:c r="F276"/>
      <x:c r="G276"/>
      <x:c r="H276"/>
      <x:c r="I276"/>
      <x:c r="J276"/>
      <x:c r="K276"/>
      <x:c r="L276"/>
    </x:row>
    <x:row r="277" ht="22" customHeight="1">
      <x:c r="A277"/>
      <x:c r="B277"/>
      <x:c r="C277"/>
      <x:c r="D277"/>
      <x:c r="E277"/>
      <x:c r="F277"/>
      <x:c r="G277"/>
      <x:c r="H277"/>
      <x:c r="I277"/>
      <x:c r="J277"/>
      <x:c r="K277"/>
      <x:c r="L277"/>
    </x:row>
    <x:row r="278" ht="22" customHeight="1">
      <x:c r="A278"/>
      <x:c r="B278"/>
      <x:c r="C278"/>
      <x:c r="D278"/>
      <x:c r="E278"/>
      <x:c r="F278"/>
      <x:c r="G278"/>
      <x:c r="H278"/>
      <x:c r="I278"/>
      <x:c r="J278"/>
      <x:c r="K278"/>
      <x:c r="L278"/>
    </x:row>
    <x:row r="279" ht="22" customHeight="1">
      <x:c r="A279"/>
      <x:c r="B279"/>
      <x:c r="C279"/>
      <x:c r="D279"/>
      <x:c r="E279"/>
      <x:c r="F279"/>
      <x:c r="G279"/>
      <x:c r="H279"/>
      <x:c r="I279"/>
      <x:c r="J279"/>
      <x:c r="K279"/>
      <x:c r="L279"/>
    </x:row>
    <x:row r="280" ht="22" customHeight="1">
      <x:c r="A280"/>
      <x:c r="B280"/>
      <x:c r="C280"/>
      <x:c r="D280"/>
      <x:c r="E280"/>
      <x:c r="F280"/>
      <x:c r="G280"/>
      <x:c r="H280"/>
      <x:c r="I280"/>
      <x:c r="J280"/>
      <x:c r="K280"/>
      <x:c r="L280"/>
    </x:row>
    <x:row r="281" ht="22" customHeight="1">
      <x:c r="A281"/>
      <x:c r="B281"/>
      <x:c r="C281"/>
      <x:c r="D281"/>
      <x:c r="E281"/>
      <x:c r="F281"/>
      <x:c r="G281"/>
      <x:c r="H281"/>
      <x:c r="I281"/>
      <x:c r="J281"/>
      <x:c r="K281"/>
      <x:c r="L281"/>
    </x:row>
    <x:row r="282" ht="22" customHeight="1">
      <x:c r="A282"/>
      <x:c r="B282"/>
      <x:c r="C282"/>
      <x:c r="D282"/>
      <x:c r="E282"/>
      <x:c r="F282"/>
      <x:c r="G282"/>
      <x:c r="H282"/>
      <x:c r="I282"/>
      <x:c r="J282"/>
      <x:c r="K282"/>
      <x:c r="L282"/>
    </x:row>
    <x:row r="283" ht="22" customHeight="1">
      <x:c r="A283"/>
      <x:c r="B283"/>
      <x:c r="C283"/>
      <x:c r="D283"/>
      <x:c r="E283"/>
      <x:c r="F283"/>
      <x:c r="G283"/>
      <x:c r="H283"/>
      <x:c r="I283"/>
      <x:c r="J283"/>
      <x:c r="K283"/>
      <x:c r="L283"/>
    </x:row>
    <x:row r="284" ht="22" customHeight="1">
      <x:c r="A284"/>
      <x:c r="B284"/>
      <x:c r="C284"/>
      <x:c r="D284"/>
      <x:c r="E284"/>
      <x:c r="F284"/>
      <x:c r="G284"/>
      <x:c r="H284"/>
      <x:c r="I284"/>
      <x:c r="J284"/>
      <x:c r="K284"/>
      <x:c r="L284"/>
    </x:row>
    <x:row r="285" ht="22" customHeight="1">
      <x:c r="A285"/>
      <x:c r="B285"/>
      <x:c r="C285"/>
      <x:c r="D285"/>
      <x:c r="E285"/>
      <x:c r="F285"/>
      <x:c r="G285"/>
      <x:c r="H285"/>
      <x:c r="I285"/>
      <x:c r="J285"/>
      <x:c r="K285"/>
      <x:c r="L285"/>
    </x:row>
    <x:row r="286" ht="22" customHeight="1">
      <x:c r="A286"/>
      <x:c r="B286"/>
      <x:c r="C286"/>
      <x:c r="D286"/>
      <x:c r="E286"/>
      <x:c r="F286"/>
      <x:c r="G286"/>
      <x:c r="H286"/>
      <x:c r="I286"/>
      <x:c r="J286"/>
      <x:c r="K286"/>
      <x:c r="L286"/>
    </x:row>
    <x:row r="287" ht="22" customHeight="1">
      <x:c r="A287"/>
      <x:c r="B287"/>
      <x:c r="C287"/>
      <x:c r="D287"/>
      <x:c r="E287"/>
      <x:c r="F287"/>
      <x:c r="G287"/>
      <x:c r="H287"/>
      <x:c r="I287"/>
      <x:c r="J287"/>
      <x:c r="K287"/>
      <x:c r="L287"/>
    </x:row>
    <x:row r="288" ht="22" customHeight="1">
      <x:c r="A288"/>
      <x:c r="B288"/>
      <x:c r="C288"/>
      <x:c r="D288"/>
      <x:c r="E288"/>
      <x:c r="F288"/>
      <x:c r="G288"/>
      <x:c r="H288"/>
      <x:c r="I288"/>
      <x:c r="J288"/>
      <x:c r="K288"/>
      <x:c r="L288"/>
    </x:row>
    <x:row r="289" ht="22" customHeight="1">
      <x:c r="A289"/>
      <x:c r="B289"/>
      <x:c r="C289"/>
      <x:c r="D289"/>
      <x:c r="E289"/>
      <x:c r="F289"/>
      <x:c r="G289"/>
      <x:c r="H289"/>
      <x:c r="I289"/>
      <x:c r="J289"/>
      <x:c r="K289"/>
      <x:c r="L289"/>
    </x:row>
    <x:row r="290" ht="22" customHeight="1">
      <x:c r="A290"/>
      <x:c r="B290"/>
      <x:c r="C290"/>
      <x:c r="D290"/>
      <x:c r="E290"/>
      <x:c r="F290"/>
      <x:c r="G290"/>
      <x:c r="H290"/>
      <x:c r="I290"/>
      <x:c r="J290"/>
      <x:c r="K290"/>
      <x:c r="L290"/>
    </x:row>
    <x:row r="291" ht="22" customHeight="1">
      <x:c r="A291"/>
      <x:c r="B291"/>
      <x:c r="C291"/>
      <x:c r="D291"/>
      <x:c r="E291"/>
      <x:c r="F291"/>
      <x:c r="G291"/>
      <x:c r="H291"/>
      <x:c r="I291"/>
      <x:c r="J291"/>
      <x:c r="K291"/>
      <x:c r="L291"/>
    </x:row>
    <x:row r="292" ht="22" customHeight="1">
      <x:c r="A292"/>
      <x:c r="B292"/>
      <x:c r="C292"/>
      <x:c r="D292"/>
      <x:c r="E292"/>
      <x:c r="F292"/>
      <x:c r="G292"/>
      <x:c r="H292"/>
      <x:c r="I292"/>
      <x:c r="J292"/>
      <x:c r="K292"/>
      <x:c r="L292"/>
    </x:row>
    <x:row r="293" ht="22" customHeight="1">
      <x:c r="A293"/>
      <x:c r="B293"/>
      <x:c r="C293"/>
      <x:c r="D293"/>
      <x:c r="E293"/>
      <x:c r="F293"/>
      <x:c r="G293"/>
      <x:c r="H293"/>
      <x:c r="I293"/>
      <x:c r="J293"/>
      <x:c r="K293"/>
      <x:c r="L293"/>
    </x:row>
    <x:row r="294" ht="22" customHeight="1">
      <x:c r="A294"/>
      <x:c r="B294"/>
      <x:c r="C294"/>
      <x:c r="D294"/>
      <x:c r="E294"/>
      <x:c r="F294"/>
      <x:c r="G294"/>
      <x:c r="H294"/>
      <x:c r="I294"/>
      <x:c r="J294"/>
      <x:c r="K294"/>
      <x:c r="L294"/>
    </x:row>
    <x:row r="295" ht="22" customHeight="1">
      <x:c r="A295"/>
      <x:c r="B295"/>
      <x:c r="C295"/>
      <x:c r="D295"/>
      <x:c r="E295"/>
      <x:c r="F295"/>
      <x:c r="G295"/>
      <x:c r="H295"/>
      <x:c r="I295"/>
      <x:c r="J295"/>
      <x:c r="K295"/>
      <x:c r="L295"/>
    </x:row>
    <x:row r="296" ht="22" customHeight="1">
      <x:c r="A296"/>
      <x:c r="B296"/>
      <x:c r="C296"/>
      <x:c r="D296"/>
      <x:c r="E296"/>
      <x:c r="F296"/>
      <x:c r="G296"/>
      <x:c r="H296"/>
      <x:c r="I296"/>
      <x:c r="J296"/>
      <x:c r="K296"/>
      <x:c r="L296"/>
    </x:row>
    <x:row r="297" ht="22" customHeight="1">
      <x:c r="A297"/>
      <x:c r="B297"/>
      <x:c r="C297"/>
      <x:c r="D297"/>
      <x:c r="E297"/>
      <x:c r="F297"/>
      <x:c r="G297"/>
      <x:c r="H297"/>
      <x:c r="I297"/>
      <x:c r="J297"/>
      <x:c r="K297"/>
      <x:c r="L297"/>
    </x:row>
    <x:row r="298" ht="22" customHeight="1">
      <x:c r="A298"/>
      <x:c r="B298"/>
      <x:c r="C298"/>
      <x:c r="D298"/>
      <x:c r="E298"/>
      <x:c r="F298"/>
      <x:c r="G298"/>
      <x:c r="H298"/>
      <x:c r="I298"/>
      <x:c r="J298"/>
      <x:c r="K298"/>
      <x:c r="L298"/>
    </x:row>
    <x:row r="299" ht="22" customHeight="1">
      <x:c r="A299"/>
      <x:c r="B299"/>
      <x:c r="C299"/>
      <x:c r="D299"/>
      <x:c r="E299"/>
      <x:c r="F299"/>
      <x:c r="G299"/>
      <x:c r="H299"/>
      <x:c r="I299"/>
      <x:c r="J299"/>
      <x:c r="K299"/>
      <x:c r="L299"/>
    </x:row>
    <x:row r="300" ht="22" customHeight="1">
      <x:c r="A300"/>
      <x:c r="B300"/>
      <x:c r="C300"/>
      <x:c r="D300"/>
      <x:c r="E300"/>
      <x:c r="F300"/>
      <x:c r="G300"/>
      <x:c r="H300"/>
      <x:c r="I300"/>
      <x:c r="J300"/>
      <x:c r="K300"/>
      <x:c r="L300"/>
    </x:row>
    <x:row r="301" ht="22" customHeight="1">
      <x:c r="A301"/>
      <x:c r="B301"/>
      <x:c r="C301"/>
      <x:c r="D301"/>
      <x:c r="E301"/>
      <x:c r="F301"/>
      <x:c r="G301"/>
      <x:c r="H301"/>
      <x:c r="I301"/>
      <x:c r="J301"/>
      <x:c r="K301"/>
      <x:c r="L301"/>
    </x:row>
    <x:row r="302" ht="22" customHeight="1">
      <x:c r="A302"/>
      <x:c r="B302"/>
      <x:c r="C302"/>
      <x:c r="D302"/>
      <x:c r="E302"/>
      <x:c r="F302"/>
      <x:c r="G302"/>
      <x:c r="H302"/>
      <x:c r="I302"/>
      <x:c r="J302"/>
      <x:c r="K302"/>
      <x:c r="L302"/>
    </x:row>
    <x:row r="303" ht="22" customHeight="1">
      <x:c r="A303"/>
      <x:c r="B303"/>
      <x:c r="C303"/>
      <x:c r="D303"/>
      <x:c r="E303"/>
      <x:c r="F303"/>
      <x:c r="G303"/>
      <x:c r="H303"/>
      <x:c r="I303"/>
      <x:c r="J303"/>
      <x:c r="K303"/>
      <x:c r="L303"/>
    </x:row>
    <x:row r="304" ht="22" customHeight="1">
      <x:c r="A304"/>
      <x:c r="B304"/>
      <x:c r="C304"/>
      <x:c r="D304"/>
      <x:c r="E304"/>
      <x:c r="F304"/>
      <x:c r="G304"/>
      <x:c r="H304"/>
      <x:c r="I304"/>
      <x:c r="J304"/>
      <x:c r="K304"/>
      <x:c r="L304"/>
    </x:row>
    <x:row r="305" ht="22" customHeight="1">
      <x:c r="A305"/>
      <x:c r="B305"/>
      <x:c r="C305"/>
      <x:c r="D305"/>
      <x:c r="E305"/>
      <x:c r="F305"/>
      <x:c r="G305"/>
      <x:c r="H305"/>
      <x:c r="I305"/>
      <x:c r="J305"/>
      <x:c r="K305"/>
      <x:c r="L305"/>
    </x:row>
    <x:row r="306" ht="22" customHeight="1">
      <x:c r="A306"/>
      <x:c r="B306"/>
      <x:c r="C306"/>
      <x:c r="D306"/>
      <x:c r="E306"/>
      <x:c r="F306"/>
      <x:c r="G306"/>
      <x:c r="H306"/>
      <x:c r="I306"/>
      <x:c r="J306"/>
      <x:c r="K306"/>
      <x:c r="L306"/>
    </x:row>
    <x:row r="307" ht="22" customHeight="1">
      <x:c r="A307"/>
      <x:c r="B307"/>
      <x:c r="C307"/>
      <x:c r="D307"/>
      <x:c r="E307"/>
      <x:c r="F307"/>
      <x:c r="G307"/>
      <x:c r="H307"/>
      <x:c r="I307"/>
      <x:c r="J307"/>
      <x:c r="K307"/>
      <x:c r="L307"/>
    </x:row>
    <x:row r="308" ht="22" customHeight="1">
      <x:c r="A308"/>
      <x:c r="B308"/>
      <x:c r="C308"/>
      <x:c r="D308"/>
      <x:c r="E308"/>
      <x:c r="F308"/>
      <x:c r="G308"/>
      <x:c r="H308"/>
      <x:c r="I308"/>
      <x:c r="J308"/>
      <x:c r="K308"/>
      <x:c r="L308"/>
    </x:row>
    <x:row r="309" ht="22" customHeight="1">
      <x:c r="A309"/>
      <x:c r="B309"/>
      <x:c r="C309"/>
      <x:c r="D309"/>
      <x:c r="E309"/>
      <x:c r="F309"/>
      <x:c r="G309"/>
      <x:c r="H309"/>
      <x:c r="I309"/>
      <x:c r="J309"/>
      <x:c r="K309"/>
      <x:c r="L309"/>
    </x:row>
    <x:row r="310" ht="22" customHeight="1">
      <x:c r="A310"/>
      <x:c r="B310"/>
      <x:c r="C310"/>
      <x:c r="D310"/>
      <x:c r="E310"/>
      <x:c r="F310"/>
      <x:c r="G310"/>
      <x:c r="H310"/>
      <x:c r="I310"/>
      <x:c r="J310"/>
      <x:c r="K310"/>
      <x:c r="L310"/>
    </x:row>
    <x:row r="311" ht="22" customHeight="1">
      <x:c r="A311"/>
      <x:c r="B311"/>
      <x:c r="C311"/>
      <x:c r="D311"/>
      <x:c r="E311"/>
      <x:c r="F311"/>
      <x:c r="G311"/>
      <x:c r="H311"/>
      <x:c r="I311"/>
      <x:c r="J311"/>
      <x:c r="K311"/>
      <x:c r="L311"/>
    </x:row>
    <x:row r="312" ht="22" customHeight="1">
      <x:c r="A312"/>
      <x:c r="B312"/>
      <x:c r="C312"/>
      <x:c r="D312"/>
      <x:c r="E312"/>
      <x:c r="F312"/>
      <x:c r="G312"/>
      <x:c r="H312"/>
      <x:c r="I312"/>
      <x:c r="J312"/>
      <x:c r="K312"/>
      <x:c r="L312"/>
    </x:row>
    <x:row r="313" ht="22" customHeight="1">
      <x:c r="A313"/>
      <x:c r="B313"/>
      <x:c r="C313"/>
      <x:c r="D313"/>
      <x:c r="E313"/>
      <x:c r="F313"/>
      <x:c r="G313"/>
      <x:c r="H313"/>
      <x:c r="I313"/>
      <x:c r="J313"/>
      <x:c r="K313"/>
      <x:c r="L313"/>
    </x:row>
    <x:row r="314" ht="36" customHeight="1">
      <x:c r="A314"/>
      <x:c r="B314"/>
      <x:c r="C314"/>
      <x:c r="D314"/>
      <x:c r="E314"/>
      <x:c r="F314"/>
      <x:c r="G314"/>
      <x:c r="H314"/>
      <x:c r="I314"/>
      <x:c r="J314"/>
      <x:c r="K314"/>
      <x:c r="L314"/>
    </x:row>
    <x:row r="315" ht="25" customHeight="1">
      <x:c r="A315"/>
      <x:c r="B315"/>
      <x:c r="C315"/>
      <x:c r="D315"/>
      <x:c r="E315"/>
      <x:c r="F315"/>
      <x:c r="G315"/>
      <x:c r="H315"/>
      <x:c r="I315"/>
      <x:c r="J315"/>
      <x:c r="K315"/>
      <x:c r="L315"/>
    </x:row>
    <x:row r="316" ht="25" customHeight="1">
      <x:c r="A316"/>
      <x:c r="B316"/>
      <x:c r="C316"/>
      <x:c r="D316"/>
      <x:c r="E316"/>
      <x:c r="F316"/>
      <x:c r="G316"/>
      <x:c r="H316"/>
      <x:c r="I316"/>
      <x:c r="J316"/>
      <x:c r="K316"/>
      <x:c r="L316"/>
    </x:row>
    <x:row r="317" ht="25" customHeight="1">
      <x:c r="A317"/>
      <x:c r="B317"/>
      <x:c r="C317"/>
      <x:c r="D317"/>
      <x:c r="E317"/>
      <x:c r="F317"/>
      <x:c r="G317"/>
      <x:c r="H317"/>
      <x:c r="I317"/>
      <x:c r="J317"/>
      <x:c r="K317"/>
      <x:c r="L317"/>
    </x:row>
    <x:row r="318" ht="25" customHeight="1">
      <x:c r="A318"/>
      <x:c r="B318"/>
      <x:c r="C318"/>
      <x:c r="D318"/>
      <x:c r="E318"/>
      <x:c r="F318"/>
      <x:c r="G318"/>
      <x:c r="H318"/>
      <x:c r="I318"/>
      <x:c r="J318"/>
      <x:c r="K318"/>
      <x:c r="L318"/>
    </x:row>
    <x:row r="319" ht="25" customHeight="1">
      <x:c r="A319"/>
      <x:c r="B319"/>
      <x:c r="C319"/>
      <x:c r="D319"/>
      <x:c r="E319"/>
      <x:c r="F319"/>
      <x:c r="G319"/>
      <x:c r="H319"/>
      <x:c r="I319"/>
      <x:c r="J319"/>
      <x:c r="K319"/>
      <x:c r="L319"/>
    </x:row>
    <x:row r="320" ht="25" customHeight="1">
      <x:c r="A320"/>
      <x:c r="B320"/>
      <x:c r="C320"/>
      <x:c r="D320"/>
      <x:c r="E320"/>
      <x:c r="F320"/>
      <x:c r="G320"/>
      <x:c r="H320"/>
      <x:c r="I320"/>
      <x:c r="J320"/>
      <x:c r="K320"/>
      <x:c r="L320"/>
    </x:row>
    <x:row r="321" ht="25" customHeight="1">
      <x:c r="A321"/>
      <x:c r="B321"/>
      <x:c r="C321"/>
      <x:c r="D321"/>
      <x:c r="E321"/>
      <x:c r="F321"/>
      <x:c r="G321"/>
      <x:c r="H321"/>
      <x:c r="I321"/>
      <x:c r="J321"/>
      <x:c r="K321"/>
      <x:c r="L321"/>
    </x:row>
    <x:row r="322" ht="25" customHeight="1">
      <x:c r="A322"/>
      <x:c r="B322"/>
      <x:c r="C322"/>
      <x:c r="D322"/>
      <x:c r="E322"/>
      <x:c r="F322"/>
      <x:c r="G322"/>
      <x:c r="H322"/>
      <x:c r="I322"/>
      <x:c r="J322"/>
      <x:c r="K322"/>
      <x:c r="L322"/>
    </x:row>
    <x:row r="323" ht="25" customHeight="1">
      <x:c r="A323"/>
      <x:c r="B323"/>
      <x:c r="C323"/>
      <x:c r="D323"/>
      <x:c r="E323"/>
      <x:c r="F323"/>
      <x:c r="G323"/>
      <x:c r="H323"/>
      <x:c r="I323"/>
      <x:c r="J323"/>
      <x:c r="K323"/>
      <x:c r="L323"/>
    </x:row>
    <x:row r="324" ht="25" customHeight="1">
      <x:c r="A324"/>
      <x:c r="B324"/>
      <x:c r="C324"/>
      <x:c r="D324"/>
      <x:c r="E324"/>
      <x:c r="F324"/>
      <x:c r="G324"/>
      <x:c r="H324"/>
      <x:c r="I324"/>
      <x:c r="J324"/>
      <x:c r="K324"/>
      <x:c r="L324"/>
    </x:row>
    <x:row r="325" ht="25" customHeight="1">
      <x:c r="A325"/>
      <x:c r="B325"/>
      <x:c r="C325"/>
      <x:c r="D325"/>
      <x:c r="E325"/>
      <x:c r="F325"/>
      <x:c r="G325"/>
      <x:c r="H325"/>
      <x:c r="I325"/>
      <x:c r="J325"/>
      <x:c r="K325"/>
      <x:c r="L325"/>
    </x:row>
    <x:row r="326" ht="25" customHeight="1">
      <x:c r="A326"/>
      <x:c r="B326"/>
      <x:c r="C326"/>
      <x:c r="D326"/>
      <x:c r="E326"/>
      <x:c r="F326"/>
      <x:c r="G326"/>
      <x:c r="H326"/>
      <x:c r="I326"/>
      <x:c r="J326"/>
      <x:c r="K326"/>
      <x:c r="L326"/>
    </x:row>
    <x:row r="327" ht="25" customHeight="1">
      <x:c r="A327"/>
      <x:c r="B327"/>
      <x:c r="C327"/>
      <x:c r="D327"/>
      <x:c r="E327"/>
      <x:c r="F327"/>
      <x:c r="G327"/>
      <x:c r="H327"/>
      <x:c r="I327"/>
      <x:c r="J327"/>
      <x:c r="K327"/>
      <x:c r="L327"/>
    </x:row>
    <x:row r="328" ht="25" customHeight="1">
      <x:c r="A328"/>
      <x:c r="B328"/>
      <x:c r="C328"/>
      <x:c r="D328"/>
      <x:c r="E328"/>
      <x:c r="F328"/>
      <x:c r="G328"/>
      <x:c r="H328"/>
      <x:c r="I328"/>
      <x:c r="J328"/>
      <x:c r="K328"/>
      <x:c r="L328"/>
    </x:row>
    <x:row r="329" ht="25" customHeight="1">
      <x:c r="A329"/>
      <x:c r="B329"/>
      <x:c r="C329"/>
      <x:c r="D329"/>
      <x:c r="E329"/>
      <x:c r="F329"/>
      <x:c r="G329"/>
      <x:c r="H329"/>
      <x:c r="I329"/>
      <x:c r="J329"/>
      <x:c r="K329"/>
      <x:c r="L329"/>
    </x:row>
    <x:row r="330" ht="25" customHeight="1">
      <x:c r="A330"/>
      <x:c r="B330"/>
      <x:c r="C330"/>
      <x:c r="D330"/>
      <x:c r="E330"/>
      <x:c r="F330"/>
      <x:c r="G330"/>
      <x:c r="H330"/>
      <x:c r="I330"/>
      <x:c r="J330"/>
      <x:c r="K330"/>
      <x:c r="L330"/>
    </x:row>
    <x:row r="331" ht="25" customHeight="1">
      <x:c r="A331"/>
      <x:c r="B331"/>
      <x:c r="C331"/>
      <x:c r="D331"/>
      <x:c r="E331"/>
      <x:c r="F331"/>
      <x:c r="G331"/>
      <x:c r="H331"/>
      <x:c r="I331"/>
      <x:c r="J331"/>
      <x:c r="K331"/>
      <x:c r="L331"/>
    </x:row>
    <x:row r="332" ht="25" customHeight="1">
      <x:c r="A332"/>
      <x:c r="B332"/>
      <x:c r="C332"/>
      <x:c r="D332"/>
      <x:c r="E332"/>
      <x:c r="F332"/>
      <x:c r="G332"/>
      <x:c r="H332"/>
      <x:c r="I332"/>
      <x:c r="J332"/>
      <x:c r="K332"/>
      <x:c r="L332"/>
    </x:row>
    <x:row r="333" ht="25" customHeight="1">
      <x:c r="A333"/>
      <x:c r="B333"/>
      <x:c r="C333"/>
      <x:c r="D333"/>
      <x:c r="E333"/>
      <x:c r="F333"/>
      <x:c r="G333"/>
      <x:c r="H333"/>
      <x:c r="I333"/>
      <x:c r="J333"/>
      <x:c r="K333"/>
      <x:c r="L333"/>
    </x:row>
    <x:row r="334" ht="25" customHeight="1">
      <x:c r="A334"/>
      <x:c r="B334"/>
      <x:c r="C334"/>
      <x:c r="D334"/>
      <x:c r="E334"/>
      <x:c r="F334"/>
      <x:c r="G334"/>
      <x:c r="H334"/>
      <x:c r="I334"/>
      <x:c r="J334"/>
      <x:c r="K334"/>
      <x:c r="L334"/>
    </x:row>
    <x:row r="335" ht="25" customHeight="1">
      <x:c r="A335"/>
      <x:c r="B335"/>
      <x:c r="C335"/>
      <x:c r="D335"/>
      <x:c r="E335"/>
      <x:c r="F335"/>
      <x:c r="G335"/>
      <x:c r="H335"/>
      <x:c r="I335"/>
      <x:c r="J335"/>
      <x:c r="K335"/>
      <x:c r="L335"/>
    </x:row>
    <x:row r="336" ht="25" customHeight="1">
      <x:c r="A336"/>
      <x:c r="B336"/>
      <x:c r="C336"/>
      <x:c r="D336"/>
      <x:c r="E336"/>
      <x:c r="F336"/>
      <x:c r="G336"/>
      <x:c r="H336"/>
      <x:c r="I336"/>
      <x:c r="J336"/>
      <x:c r="K336"/>
      <x:c r="L336"/>
    </x:row>
    <x:row r="337" ht="25" customHeight="1">
      <x:c r="A337"/>
      <x:c r="B337"/>
      <x:c r="C337"/>
      <x:c r="D337"/>
      <x:c r="E337"/>
      <x:c r="F337"/>
      <x:c r="G337"/>
      <x:c r="H337"/>
      <x:c r="I337"/>
      <x:c r="J337"/>
      <x:c r="K337"/>
      <x:c r="L337"/>
    </x:row>
    <x:row r="338" ht="25" customHeight="1">
      <x:c r="A338"/>
      <x:c r="B338"/>
      <x:c r="C338"/>
      <x:c r="D338"/>
      <x:c r="E338"/>
      <x:c r="F338"/>
      <x:c r="G338"/>
      <x:c r="H338"/>
      <x:c r="I338"/>
      <x:c r="J338"/>
      <x:c r="K338"/>
      <x:c r="L338"/>
    </x:row>
    <x:row r="339" ht="25" customHeight="1">
      <x:c r="A339"/>
      <x:c r="B339"/>
      <x:c r="C339"/>
      <x:c r="D339"/>
      <x:c r="E339"/>
      <x:c r="F339"/>
      <x:c r="G339"/>
      <x:c r="H339"/>
      <x:c r="I339"/>
      <x:c r="J339"/>
      <x:c r="K339"/>
      <x:c r="L339"/>
    </x:row>
    <x:row r="340" ht="25" customHeight="1">
      <x:c r="A340"/>
      <x:c r="B340"/>
      <x:c r="C340"/>
      <x:c r="D340"/>
      <x:c r="E340"/>
      <x:c r="F340"/>
      <x:c r="G340"/>
      <x:c r="H340"/>
      <x:c r="I340"/>
      <x:c r="J340"/>
      <x:c r="K340"/>
      <x:c r="L340"/>
    </x:row>
    <x:row r="341" ht="25" customHeight="1">
      <x:c r="A341"/>
      <x:c r="B341"/>
      <x:c r="C341"/>
      <x:c r="D341"/>
      <x:c r="E341"/>
      <x:c r="F341"/>
      <x:c r="G341"/>
      <x:c r="H341"/>
      <x:c r="I341"/>
      <x:c r="J341"/>
      <x:c r="K341"/>
      <x:c r="L341"/>
    </x:row>
    <x:row r="342" ht="25" customHeight="1">
      <x:c r="A342"/>
      <x:c r="B342"/>
      <x:c r="C342"/>
      <x:c r="D342"/>
      <x:c r="E342"/>
      <x:c r="F342"/>
      <x:c r="G342"/>
      <x:c r="H342"/>
      <x:c r="I342"/>
      <x:c r="J342"/>
      <x:c r="K342"/>
      <x:c r="L342"/>
    </x:row>
    <x:row r="343" ht="25" customHeight="1">
      <x:c r="A343"/>
      <x:c r="B343"/>
      <x:c r="C343"/>
      <x:c r="D343"/>
      <x:c r="E343"/>
      <x:c r="F343"/>
      <x:c r="G343"/>
      <x:c r="H343"/>
      <x:c r="I343"/>
      <x:c r="J343"/>
      <x:c r="K343"/>
      <x:c r="L343"/>
    </x:row>
    <x:row r="344" ht="25" customHeight="1">
      <x:c r="A344"/>
      <x:c r="B344"/>
      <x:c r="C344"/>
      <x:c r="D344"/>
      <x:c r="E344"/>
      <x:c r="F344"/>
      <x:c r="G344"/>
      <x:c r="H344"/>
      <x:c r="I344"/>
      <x:c r="J344"/>
      <x:c r="K344"/>
      <x:c r="L344"/>
    </x:row>
    <x:row r="345" ht="22" customHeight="1">
      <x:c r="A345"/>
      <x:c r="B345"/>
      <x:c r="C345"/>
      <x:c r="D345"/>
      <x:c r="E345"/>
      <x:c r="F345"/>
      <x:c r="G345"/>
      <x:c r="H345"/>
      <x:c r="I345"/>
      <x:c r="J345"/>
      <x:c r="K345"/>
      <x:c r="L345"/>
    </x:row>
    <x:row r="346" ht="22" customHeight="1">
      <x:c r="A346"/>
      <x:c r="B346"/>
      <x:c r="C346"/>
      <x:c r="D346"/>
      <x:c r="E346"/>
      <x:c r="F346"/>
      <x:c r="G346"/>
      <x:c r="H346"/>
      <x:c r="I346"/>
      <x:c r="J346"/>
      <x:c r="K346"/>
      <x:c r="L346"/>
    </x:row>
    <x:row r="347" ht="22" customHeight="1">
      <x:c r="A347"/>
      <x:c r="B347"/>
      <x:c r="C347"/>
      <x:c r="D347"/>
      <x:c r="E347"/>
      <x:c r="F347"/>
      <x:c r="G347"/>
      <x:c r="H347"/>
      <x:c r="I347"/>
      <x:c r="J347"/>
      <x:c r="K347"/>
      <x:c r="L347"/>
    </x:row>
    <x:row r="348" ht="22" customHeight="1">
      <x:c r="A348"/>
      <x:c r="B348"/>
      <x:c r="C348"/>
      <x:c r="D348"/>
      <x:c r="E348"/>
      <x:c r="F348"/>
      <x:c r="G348"/>
      <x:c r="H348"/>
      <x:c r="I348"/>
      <x:c r="J348"/>
      <x:c r="K348"/>
      <x:c r="L348"/>
    </x:row>
    <x:row r="349" ht="22" customHeight="1">
      <x:c r="A349"/>
      <x:c r="B349"/>
      <x:c r="C349"/>
      <x:c r="D349"/>
      <x:c r="E349"/>
      <x:c r="F349"/>
      <x:c r="G349"/>
      <x:c r="H349"/>
      <x:c r="I349"/>
      <x:c r="J349"/>
      <x:c r="K349"/>
      <x:c r="L349"/>
    </x:row>
    <x:row r="350" ht="74" customHeight="1">
      <x:c r="A350"/>
      <x:c r="B350"/>
      <x:c r="C350"/>
      <x:c r="D350"/>
      <x:c r="E350"/>
      <x:c r="F350"/>
      <x:c r="G350"/>
      <x:c r="H350"/>
      <x:c r="I350"/>
      <x:c r="J350"/>
      <x:c r="K350"/>
      <x:c r="L350"/>
    </x:row>
    <x:row r="351" ht="30" customHeight="1">
      <x:c r="A351"/>
      <x:c r="B351"/>
      <x:c r="C351"/>
      <x:c r="D351"/>
      <x:c r="E351"/>
      <x:c r="F351"/>
      <x:c r="G351"/>
      <x:c r="H351"/>
      <x:c r="I351"/>
      <x:c r="J351"/>
      <x:c r="K351"/>
      <x:c r="L351"/>
    </x:row>
    <x:row r="352" ht="30" customHeight="1">
      <x:c r="A352"/>
      <x:c r="B352"/>
      <x:c r="C352"/>
      <x:c r="D352"/>
      <x:c r="E352"/>
      <x:c r="F352"/>
      <x:c r="G352"/>
      <x:c r="H352"/>
      <x:c r="I352"/>
      <x:c r="J352"/>
      <x:c r="K352"/>
      <x:c r="L352"/>
    </x:row>
    <x:row r="353" ht="30" customHeight="1">
      <x:c r="A353"/>
      <x:c r="B353"/>
      <x:c r="C353"/>
      <x:c r="D353"/>
      <x:c r="E353"/>
      <x:c r="F353"/>
      <x:c r="G353"/>
      <x:c r="H353"/>
      <x:c r="I353"/>
      <x:c r="J353"/>
      <x:c r="K353"/>
      <x:c r="L353"/>
    </x:row>
    <x:row r="354" ht="22" customHeight="1">
      <x:c r="A354"/>
      <x:c r="B354"/>
      <x:c r="C354"/>
      <x:c r="D354"/>
      <x:c r="E354"/>
      <x:c r="F354"/>
      <x:c r="G354"/>
      <x:c r="H354"/>
      <x:c r="I354"/>
      <x:c r="J354"/>
      <x:c r="K354"/>
      <x:c r="L354"/>
    </x:row>
    <x:row r="355" ht="22" customHeight="1">
      <x:c r="A355"/>
      <x:c r="B355"/>
      <x:c r="C355"/>
      <x:c r="D355"/>
      <x:c r="E355"/>
      <x:c r="F355"/>
      <x:c r="G355"/>
      <x:c r="H355"/>
      <x:c r="I355"/>
      <x:c r="J355"/>
      <x:c r="K355"/>
      <x:c r="L355"/>
    </x:row>
    <x:row r="356" ht="22" customHeight="1">
      <x:c r="A356"/>
      <x:c r="B356"/>
      <x:c r="C356"/>
      <x:c r="D356"/>
      <x:c r="E356"/>
      <x:c r="F356"/>
      <x:c r="G356"/>
      <x:c r="H356"/>
      <x:c r="I356"/>
      <x:c r="J356"/>
      <x:c r="K356"/>
      <x:c r="L356"/>
    </x:row>
  </x:sheetData>
  <x:conditionalFormatting sqref="B9:D158">
    <x:cfRule type="expression" dxfId="3" priority="2">
      <x:formula>AND($B9&lt;&gt;"",$C9&lt;&gt;"",$D9&lt;&gt;"",COUNTIFS($B$9:$B$158,$B9,$C$9:$C$158,$C9,$D$9:$D$158,$D9)&gt;1)</x:formula>
    </x:cfRule>
  </x:conditionalFormatting>
  <x:conditionalFormatting sqref="E9:E158">
    <x:cfRule type="expression" dxfId="4" priority="3">
      <x:formula>AND($C9&lt;&gt;"",$E9&lt;&gt;"",COUNTIF($Z$3:$Z$58,$C9&amp;"|"&amp;$E9)=0)</x:formula>
    </x:cfRule>
  </x:conditionalFormatting>
  <x:dataValidations count="5">
    <x:dataValidation type="list" errorStyle="stop" showErrorMessage="1" errorTitle="Modelo" error="Selecione um dos três modelos da lista." sqref="B9:B158">
      <x:formula1>"M1 — gemma-4-E4B-it-GGUF,M2 — Qwen3.6-27B-GGUF,M3 — GPT-5.6 Luna"</x:formula1>
    </x:dataValidation>
    <x:dataValidation type="list" errorStyle="stop" showErrorMessage="1" errorTitle="Código" error="Selecione um dos dez códigos da lista." sqref="C9:C158">
      <x:formula1>"C1-A,C1-B,C2-A,C2-B,C3-A,C3-B,C4-A,C4-B,C5-A,C5-B"</x:formula1>
    </x:dataValidation>
    <x:dataValidation type="list" errorStyle="stop" showErrorMessage="1" errorTitle="Repetição" error="Selecione uma repetição de 1 a 5." sqref="D9:D158">
      <x:formula1>$AC$3:$AC$7</x:formula1>
    </x:dataValidation>
    <x:dataValidation type="list" errorStyle="stop" showErrorMessage="1" errorTitle="Problemas detectados" error="Selecione uma combinação dos problemas do código analisado." sqref="E9:E158">
      <x:formula1>IF($C9="",$N$3,INDEX($N$3:$W$10,1,MATCH($C9,$N$2:$W$2,0)):INDEX($N$3:$W$10,2^VLOOKUP($C9,$X$3:$Y$12,2,FALSE),MATCH($C9,$N$2:$W$2,0)))</x:formula1>
    </x:dataValidation>
    <x:dataValidation type="whole" errorStyle="stop" operator="greaterThanOrEqual" showErrorMessage="1" errorTitle="Falsos positivos" error="Informe um número inteiro maior ou igual a zero." sqref="G9:G15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11b359986a478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1" hidden="0" customWidth="1"/>
    <x:col min="3" max="3" width="17" hidden="0" customWidth="1"/>
    <x:col min="4" max="4" width="8" hidden="0" customWidth="1"/>
    <x:col min="5" max="5" width="8" hidden="0" customWidth="1"/>
    <x:col min="6" max="6" width="8" hidden="0" customWidth="1"/>
    <x:col min="7" max="7" width="13" hidden="0" customWidth="1"/>
    <x:col min="8" max="8" width="14" hidden="0" customWidth="1"/>
    <x:col min="9" max="9" width="11" hidden="0" customWidth="1"/>
    <x:col min="11" max="20" width="14" hidden="1" customWidth="1"/>
  </x:cols>
  <x:sheetData>
    <x:row r="1" ht="30" customHeight="1">
      <x:c r="A1" s="45" t="str">
        <x:v>Resumo por modelo e repetição</x:v>
      </x:c>
      <x:c r="B1" s="44"/>
      <x:c r="C1" s="44"/>
      <x:c r="D1" s="44"/>
      <x:c r="E1" s="44"/>
      <x:c r="F1" s="44"/>
      <x:c r="G1" s="44"/>
      <x:c r="H1" s="44"/>
      <x:c r="I1" s="44"/>
    </x:row>
    <x:row r="2" ht="25" customHeight="1">
      <x:c r="A2" s="46" t="str">
        <x:v>As métricas exigem os dez códigos classificados, sem duplicação. Células vazias indicam uma rodada incompleta.</x:v>
      </x:c>
      <x:c r="B2" s="44"/>
      <x:c r="C2" s="44"/>
      <x:c r="D2" s="44"/>
      <x:c r="E2" s="44"/>
      <x:c r="F2" s="44"/>
      <x:c r="G2" s="44"/>
      <x:c r="H2" s="44"/>
      <x:c r="I2" s="44"/>
    </x:row>
    <x:row r="3" ht="25" customHeight="1">
      <x:c r="A3" s="44"/>
      <x:c r="B3" s="44"/>
      <x:c r="C3" s="44"/>
      <x:c r="D3" s="44"/>
      <x:c r="E3" s="44"/>
      <x:c r="F3" s="44"/>
      <x:c r="G3" s="44"/>
      <x:c r="H3" s="44"/>
      <x:c r="I3" s="44"/>
    </x:row>
    <x:row r="4" ht="44" customHeight="1">
      <x:c r="A4" s="50" t="str">
        <x:v>Modelo</x:v>
      </x:c>
      <x:c r="B4" s="50" t="str">
        <x:v>Repetição</x:v>
      </x:c>
      <x:c r="C4" s="50" t="str">
        <x:v>Códigos avaliados</x:v>
      </x:c>
      <x:c r="D4" s="50" t="str">
        <x:v>VP</x:v>
      </x:c>
      <x:c r="E4" s="50" t="str">
        <x:v>FP</x:v>
      </x:c>
      <x:c r="F4" s="50" t="str">
        <x:v>FN</x:v>
      </x:c>
      <x:c r="G4" s="50" t="str">
        <x:v>Precisão</x:v>
      </x:c>
      <x:c r="H4" s="50" t="str">
        <x:v>Revocação</x:v>
      </x:c>
      <x:c r="I4" s="50" t="str">
        <x:v>F1</x:v>
      </x:c>
      <x:c r="K4" t="str">
        <x:v>C1-A</x:v>
      </x:c>
      <x:c r="L4" t="str">
        <x:v>C1-B</x:v>
      </x:c>
      <x:c r="M4" t="str">
        <x:v>C2-A</x:v>
      </x:c>
      <x:c r="N4" t="str">
        <x:v>C2-B</x:v>
      </x:c>
      <x:c r="O4" t="str">
        <x:v>C3-A</x:v>
      </x:c>
      <x:c r="P4" t="str">
        <x:v>C3-B</x:v>
      </x:c>
      <x:c r="Q4" t="str">
        <x:v>C4-A</x:v>
      </x:c>
      <x:c r="R4" t="str">
        <x:v>C4-B</x:v>
      </x:c>
      <x:c r="S4" t="str">
        <x:v>C5-A</x:v>
      </x:c>
      <x:c r="T4" t="str">
        <x:v>C5-B</x:v>
      </x:c>
    </x:row>
    <x:row r="5" ht="25" customHeight="1">
      <x:c r="A5" s="44" t="str">
        <x:v>M1 — gemma-4-E4B-it-GGUF</x:v>
      </x:c>
      <x:c r="B5" s="53" t="n">
        <x:v>1</x:v>
      </x:c>
      <x:c r="C5" s="54" t="str">
        <x:f>IF(COUNTIFS('Execuções'!$B$9:$B$158,$A5,'Execuções'!$D$9:$D$158,$B5)=0,"",COUNTIF(K5:T5,1))</x:f>
      </x:c>
      <x:c r="D5" s="54" t="str">
        <x:f>IF(OR($C5&lt;&gt;10,COUNTIFS('Execuções'!$B$9:$B$158,$A5,'Execuções'!$D$9:$D$158,$B5)&lt;&gt;10),"",SUMIFS('Execuções'!$F$9:$F$158,'Execuções'!$B$9:$B$158,$A5,'Execuções'!$D$9:$D$158,$B5))</x:f>
      </x:c>
      <x:c r="E5" s="54" t="str">
        <x:f>IF(OR($C5&lt;&gt;10,COUNTIFS('Execuções'!$B$9:$B$158,$A5,'Execuções'!$D$9:$D$158,$B5)&lt;&gt;10),"",SUMIFS('Execuções'!$G$9:$G$158,'Execuções'!$B$9:$B$158,$A5,'Execuções'!$D$9:$D$158,$B5))</x:f>
      </x:c>
      <x:c r="F5" s="54" t="str">
        <x:f>IF(OR($C5&lt;&gt;10,COUNTIFS('Execuções'!$B$9:$B$158,$A5,'Execuções'!$D$9:$D$158,$B5)&lt;&gt;10),"",SUMIFS('Execuções'!$H$9:$H$158,'Execuções'!$B$9:$B$158,$A5,'Execuções'!$D$9:$D$158,$B5))</x:f>
      </x:c>
      <x:c r="G5" s="55" t="str">
        <x:f>IF(COUNT(D5:F5)&lt;&gt;3,"",IF(D5+E5=0,"Indefinida",D5/(D5+E5)))</x:f>
      </x:c>
      <x:c r="H5" s="55" t="str">
        <x:f>IF(COUNT(D5:F5)&lt;&gt;3,"",D5/(D5+F5))</x:f>
      </x:c>
      <x:c r="I5" s="55" t="str">
        <x:f>IF(COUNT(D5:F5)&lt;&gt;3,"",2*D5/(2*D5+E5+F5))</x:f>
      </x:c>
      <x:c r="K5" t="n">
        <x:f>COUNTIFS('Execuções'!$B$9:$B$158,$A5,'Execuções'!$D$9:$D$158,$B5,'Execuções'!$C$9:$C$158,K$4,'Execuções'!$K$9:$K$158,"&gt;=0")</x:f>
        <x:v>0</x:v>
      </x:c>
      <x:c r="L5" t="n">
        <x:f>COUNTIFS('Execuções'!$B$9:$B$158,$A5,'Execuções'!$D$9:$D$158,$B5,'Execuções'!$C$9:$C$158,L$4,'Execuções'!$K$9:$K$158,"&gt;=0")</x:f>
        <x:v>0</x:v>
      </x:c>
      <x:c r="M5" t="n">
        <x:f>COUNTIFS('Execuções'!$B$9:$B$158,$A5,'Execuções'!$D$9:$D$158,$B5,'Execuções'!$C$9:$C$158,M$4,'Execuções'!$K$9:$K$158,"&gt;=0")</x:f>
        <x:v>0</x:v>
      </x:c>
      <x:c r="N5" t="n">
        <x:f>COUNTIFS('Execuções'!$B$9:$B$158,$A5,'Execuções'!$D$9:$D$158,$B5,'Execuções'!$C$9:$C$158,N$4,'Execuções'!$K$9:$K$158,"&gt;=0")</x:f>
        <x:v>0</x:v>
      </x:c>
      <x:c r="O5" t="n">
        <x:f>COUNTIFS('Execuções'!$B$9:$B$158,$A5,'Execuções'!$D$9:$D$158,$B5,'Execuções'!$C$9:$C$158,O$4,'Execuções'!$K$9:$K$158,"&gt;=0")</x:f>
        <x:v>0</x:v>
      </x:c>
      <x:c r="P5" t="n">
        <x:f>COUNTIFS('Execuções'!$B$9:$B$158,$A5,'Execuções'!$D$9:$D$158,$B5,'Execuções'!$C$9:$C$158,P$4,'Execuções'!$K$9:$K$158,"&gt;=0")</x:f>
        <x:v>0</x:v>
      </x:c>
      <x:c r="Q5" t="n">
        <x:f>COUNTIFS('Execuções'!$B$9:$B$158,$A5,'Execuções'!$D$9:$D$158,$B5,'Execuções'!$C$9:$C$158,Q$4,'Execuções'!$K$9:$K$158,"&gt;=0")</x:f>
        <x:v>0</x:v>
      </x:c>
      <x:c r="R5" t="n">
        <x:f>COUNTIFS('Execuções'!$B$9:$B$158,$A5,'Execuções'!$D$9:$D$158,$B5,'Execuções'!$C$9:$C$158,R$4,'Execuções'!$K$9:$K$158,"&gt;=0")</x:f>
        <x:v>0</x:v>
      </x:c>
      <x:c r="S5" t="n">
        <x:f>COUNTIFS('Execuções'!$B$9:$B$158,$A5,'Execuções'!$D$9:$D$158,$B5,'Execuções'!$C$9:$C$158,S$4,'Execuções'!$K$9:$K$158,"&gt;=0")</x:f>
        <x:v>0</x:v>
      </x:c>
      <x:c r="T5" t="n">
        <x:f>COUNTIFS('Execuções'!$B$9:$B$158,$A5,'Execuções'!$D$9:$D$158,$B5,'Execuções'!$C$9:$C$158,T$4,'Execuções'!$K$9:$K$158,"&gt;=0")</x:f>
        <x:v>0</x:v>
      </x:c>
    </x:row>
    <x:row r="6" ht="25" customHeight="1">
      <x:c r="A6" s="44" t="str">
        <x:v>M1 — gemma-4-E4B-it-GGUF</x:v>
      </x:c>
      <x:c r="B6" s="53" t="n">
        <x:v>2</x:v>
      </x:c>
      <x:c r="C6" s="54" t="str">
        <x:f>IF(COUNTIFS('Execuções'!$B$9:$B$158,$A6,'Execuções'!$D$9:$D$158,$B6)=0,"",COUNTIF(K6:T6,1))</x:f>
      </x:c>
      <x:c r="D6" s="54" t="str">
        <x:f>IF(OR($C6&lt;&gt;10,COUNTIFS('Execuções'!$B$9:$B$158,$A6,'Execuções'!$D$9:$D$158,$B6)&lt;&gt;10),"",SUMIFS('Execuções'!$F$9:$F$158,'Execuções'!$B$9:$B$158,$A6,'Execuções'!$D$9:$D$158,$B6))</x:f>
      </x:c>
      <x:c r="E6" s="54" t="str">
        <x:f>IF(OR($C6&lt;&gt;10,COUNTIFS('Execuções'!$B$9:$B$158,$A6,'Execuções'!$D$9:$D$158,$B6)&lt;&gt;10),"",SUMIFS('Execuções'!$G$9:$G$158,'Execuções'!$B$9:$B$158,$A6,'Execuções'!$D$9:$D$158,$B6))</x:f>
      </x:c>
      <x:c r="F6" s="54" t="str">
        <x:f>IF(OR($C6&lt;&gt;10,COUNTIFS('Execuções'!$B$9:$B$158,$A6,'Execuções'!$D$9:$D$158,$B6)&lt;&gt;10),"",SUMIFS('Execuções'!$H$9:$H$158,'Execuções'!$B$9:$B$158,$A6,'Execuções'!$D$9:$D$158,$B6))</x:f>
      </x:c>
      <x:c r="G6" s="55" t="str">
        <x:f>IF(COUNT(D6:F6)&lt;&gt;3,"",IF(D6+E6=0,"Indefinida",D6/(D6+E6)))</x:f>
      </x:c>
      <x:c r="H6" s="55" t="str">
        <x:f>IF(COUNT(D6:F6)&lt;&gt;3,"",D6/(D6+F6))</x:f>
      </x:c>
      <x:c r="I6" s="55" t="str">
        <x:f>IF(COUNT(D6:F6)&lt;&gt;3,"",2*D6/(2*D6+E6+F6))</x:f>
      </x:c>
      <x:c r="K6" t="n">
        <x:f>COUNTIFS('Execuções'!$B$9:$B$158,$A6,'Execuções'!$D$9:$D$158,$B6,'Execuções'!$C$9:$C$158,K$4,'Execuções'!$K$9:$K$158,"&gt;=0")</x:f>
        <x:v>0</x:v>
      </x:c>
      <x:c r="L6" t="n">
        <x:f>COUNTIFS('Execuções'!$B$9:$B$158,$A6,'Execuções'!$D$9:$D$158,$B6,'Execuções'!$C$9:$C$158,L$4,'Execuções'!$K$9:$K$158,"&gt;=0")</x:f>
        <x:v>0</x:v>
      </x:c>
      <x:c r="M6" t="n">
        <x:f>COUNTIFS('Execuções'!$B$9:$B$158,$A6,'Execuções'!$D$9:$D$158,$B6,'Execuções'!$C$9:$C$158,M$4,'Execuções'!$K$9:$K$158,"&gt;=0")</x:f>
        <x:v>0</x:v>
      </x:c>
      <x:c r="N6" t="n">
        <x:f>COUNTIFS('Execuções'!$B$9:$B$158,$A6,'Execuções'!$D$9:$D$158,$B6,'Execuções'!$C$9:$C$158,N$4,'Execuções'!$K$9:$K$158,"&gt;=0")</x:f>
        <x:v>0</x:v>
      </x:c>
      <x:c r="O6" t="n">
        <x:f>COUNTIFS('Execuções'!$B$9:$B$158,$A6,'Execuções'!$D$9:$D$158,$B6,'Execuções'!$C$9:$C$158,O$4,'Execuções'!$K$9:$K$158,"&gt;=0")</x:f>
        <x:v>0</x:v>
      </x:c>
      <x:c r="P6" t="n">
        <x:f>COUNTIFS('Execuções'!$B$9:$B$158,$A6,'Execuções'!$D$9:$D$158,$B6,'Execuções'!$C$9:$C$158,P$4,'Execuções'!$K$9:$K$158,"&gt;=0")</x:f>
        <x:v>0</x:v>
      </x:c>
      <x:c r="Q6" t="n">
        <x:f>COUNTIFS('Execuções'!$B$9:$B$158,$A6,'Execuções'!$D$9:$D$158,$B6,'Execuções'!$C$9:$C$158,Q$4,'Execuções'!$K$9:$K$158,"&gt;=0")</x:f>
        <x:v>0</x:v>
      </x:c>
      <x:c r="R6" t="n">
        <x:f>COUNTIFS('Execuções'!$B$9:$B$158,$A6,'Execuções'!$D$9:$D$158,$B6,'Execuções'!$C$9:$C$158,R$4,'Execuções'!$K$9:$K$158,"&gt;=0")</x:f>
        <x:v>0</x:v>
      </x:c>
      <x:c r="S6" t="n">
        <x:f>COUNTIFS('Execuções'!$B$9:$B$158,$A6,'Execuções'!$D$9:$D$158,$B6,'Execuções'!$C$9:$C$158,S$4,'Execuções'!$K$9:$K$158,"&gt;=0")</x:f>
        <x:v>0</x:v>
      </x:c>
      <x:c r="T6" t="n">
        <x:f>COUNTIFS('Execuções'!$B$9:$B$158,$A6,'Execuções'!$D$9:$D$158,$B6,'Execuções'!$C$9:$C$158,T$4,'Execuções'!$K$9:$K$158,"&gt;=0")</x:f>
        <x:v>0</x:v>
      </x:c>
    </x:row>
    <x:row r="7" ht="25" customHeight="1">
      <x:c r="A7" s="44" t="str">
        <x:v>M1 — gemma-4-E4B-it-GGUF</x:v>
      </x:c>
      <x:c r="B7" s="53" t="n">
        <x:v>3</x:v>
      </x:c>
      <x:c r="C7" s="54" t="str">
        <x:f>IF(COUNTIFS('Execuções'!$B$9:$B$158,$A7,'Execuções'!$D$9:$D$158,$B7)=0,"",COUNTIF(K7:T7,1))</x:f>
      </x:c>
      <x:c r="D7" s="54" t="str">
        <x:f>IF(OR($C7&lt;&gt;10,COUNTIFS('Execuções'!$B$9:$B$158,$A7,'Execuções'!$D$9:$D$158,$B7)&lt;&gt;10),"",SUMIFS('Execuções'!$F$9:$F$158,'Execuções'!$B$9:$B$158,$A7,'Execuções'!$D$9:$D$158,$B7))</x:f>
      </x:c>
      <x:c r="E7" s="54" t="str">
        <x:f>IF(OR($C7&lt;&gt;10,COUNTIFS('Execuções'!$B$9:$B$158,$A7,'Execuções'!$D$9:$D$158,$B7)&lt;&gt;10),"",SUMIFS('Execuções'!$G$9:$G$158,'Execuções'!$B$9:$B$158,$A7,'Execuções'!$D$9:$D$158,$B7))</x:f>
      </x:c>
      <x:c r="F7" s="54" t="str">
        <x:f>IF(OR($C7&lt;&gt;10,COUNTIFS('Execuções'!$B$9:$B$158,$A7,'Execuções'!$D$9:$D$158,$B7)&lt;&gt;10),"",SUMIFS('Execuções'!$H$9:$H$158,'Execuções'!$B$9:$B$158,$A7,'Execuções'!$D$9:$D$158,$B7))</x:f>
      </x:c>
      <x:c r="G7" s="55" t="str">
        <x:f>IF(COUNT(D7:F7)&lt;&gt;3,"",IF(D7+E7=0,"Indefinida",D7/(D7+E7)))</x:f>
      </x:c>
      <x:c r="H7" s="55" t="str">
        <x:f>IF(COUNT(D7:F7)&lt;&gt;3,"",D7/(D7+F7))</x:f>
      </x:c>
      <x:c r="I7" s="55" t="str">
        <x:f>IF(COUNT(D7:F7)&lt;&gt;3,"",2*D7/(2*D7+E7+F7))</x:f>
      </x:c>
      <x:c r="K7" t="n">
        <x:f>COUNTIFS('Execuções'!$B$9:$B$158,$A7,'Execuções'!$D$9:$D$158,$B7,'Execuções'!$C$9:$C$158,K$4,'Execuções'!$K$9:$K$158,"&gt;=0")</x:f>
        <x:v>0</x:v>
      </x:c>
      <x:c r="L7" t="n">
        <x:f>COUNTIFS('Execuções'!$B$9:$B$158,$A7,'Execuções'!$D$9:$D$158,$B7,'Execuções'!$C$9:$C$158,L$4,'Execuções'!$K$9:$K$158,"&gt;=0")</x:f>
        <x:v>0</x:v>
      </x:c>
      <x:c r="M7" t="n">
        <x:f>COUNTIFS('Execuções'!$B$9:$B$158,$A7,'Execuções'!$D$9:$D$158,$B7,'Execuções'!$C$9:$C$158,M$4,'Execuções'!$K$9:$K$158,"&gt;=0")</x:f>
        <x:v>0</x:v>
      </x:c>
      <x:c r="N7" t="n">
        <x:f>COUNTIFS('Execuções'!$B$9:$B$158,$A7,'Execuções'!$D$9:$D$158,$B7,'Execuções'!$C$9:$C$158,N$4,'Execuções'!$K$9:$K$158,"&gt;=0")</x:f>
        <x:v>0</x:v>
      </x:c>
      <x:c r="O7" t="n">
        <x:f>COUNTIFS('Execuções'!$B$9:$B$158,$A7,'Execuções'!$D$9:$D$158,$B7,'Execuções'!$C$9:$C$158,O$4,'Execuções'!$K$9:$K$158,"&gt;=0")</x:f>
        <x:v>0</x:v>
      </x:c>
      <x:c r="P7" t="n">
        <x:f>COUNTIFS('Execuções'!$B$9:$B$158,$A7,'Execuções'!$D$9:$D$158,$B7,'Execuções'!$C$9:$C$158,P$4,'Execuções'!$K$9:$K$158,"&gt;=0")</x:f>
        <x:v>0</x:v>
      </x:c>
      <x:c r="Q7" t="n">
        <x:f>COUNTIFS('Execuções'!$B$9:$B$158,$A7,'Execuções'!$D$9:$D$158,$B7,'Execuções'!$C$9:$C$158,Q$4,'Execuções'!$K$9:$K$158,"&gt;=0")</x:f>
        <x:v>0</x:v>
      </x:c>
      <x:c r="R7" t="n">
        <x:f>COUNTIFS('Execuções'!$B$9:$B$158,$A7,'Execuções'!$D$9:$D$158,$B7,'Execuções'!$C$9:$C$158,R$4,'Execuções'!$K$9:$K$158,"&gt;=0")</x:f>
        <x:v>0</x:v>
      </x:c>
      <x:c r="S7" t="n">
        <x:f>COUNTIFS('Execuções'!$B$9:$B$158,$A7,'Execuções'!$D$9:$D$158,$B7,'Execuções'!$C$9:$C$158,S$4,'Execuções'!$K$9:$K$158,"&gt;=0")</x:f>
        <x:v>0</x:v>
      </x:c>
      <x:c r="T7" t="n">
        <x:f>COUNTIFS('Execuções'!$B$9:$B$158,$A7,'Execuções'!$D$9:$D$158,$B7,'Execuções'!$C$9:$C$158,T$4,'Execuções'!$K$9:$K$158,"&gt;=0")</x:f>
        <x:v>0</x:v>
      </x:c>
    </x:row>
    <x:row r="8" ht="25" customHeight="1">
      <x:c r="A8" s="44" t="str">
        <x:v>M1 — gemma-4-E4B-it-GGUF</x:v>
      </x:c>
      <x:c r="B8" s="53" t="n">
        <x:v>4</x:v>
      </x:c>
      <x:c r="C8" s="54" t="str">
        <x:f>IF(COUNTIFS('Execuções'!$B$9:$B$158,$A8,'Execuções'!$D$9:$D$158,$B8)=0,"",COUNTIF(K8:T8,1))</x:f>
      </x:c>
      <x:c r="D8" s="54" t="str">
        <x:f>IF(OR($C8&lt;&gt;10,COUNTIFS('Execuções'!$B$9:$B$158,$A8,'Execuções'!$D$9:$D$158,$B8)&lt;&gt;10),"",SUMIFS('Execuções'!$F$9:$F$158,'Execuções'!$B$9:$B$158,$A8,'Execuções'!$D$9:$D$158,$B8))</x:f>
      </x:c>
      <x:c r="E8" s="54" t="str">
        <x:f>IF(OR($C8&lt;&gt;10,COUNTIFS('Execuções'!$B$9:$B$158,$A8,'Execuções'!$D$9:$D$158,$B8)&lt;&gt;10),"",SUMIFS('Execuções'!$G$9:$G$158,'Execuções'!$B$9:$B$158,$A8,'Execuções'!$D$9:$D$158,$B8))</x:f>
      </x:c>
      <x:c r="F8" s="54" t="str">
        <x:f>IF(OR($C8&lt;&gt;10,COUNTIFS('Execuções'!$B$9:$B$158,$A8,'Execuções'!$D$9:$D$158,$B8)&lt;&gt;10),"",SUMIFS('Execuções'!$H$9:$H$158,'Execuções'!$B$9:$B$158,$A8,'Execuções'!$D$9:$D$158,$B8))</x:f>
      </x:c>
      <x:c r="G8" s="55" t="str">
        <x:f>IF(COUNT(D8:F8)&lt;&gt;3,"",IF(D8+E8=0,"Indefinida",D8/(D8+E8)))</x:f>
      </x:c>
      <x:c r="H8" s="55" t="str">
        <x:f>IF(COUNT(D8:F8)&lt;&gt;3,"",D8/(D8+F8))</x:f>
      </x:c>
      <x:c r="I8" s="55" t="str">
        <x:f>IF(COUNT(D8:F8)&lt;&gt;3,"",2*D8/(2*D8+E8+F8))</x:f>
      </x:c>
      <x:c r="K8" t="n">
        <x:f>COUNTIFS('Execuções'!$B$9:$B$158,$A8,'Execuções'!$D$9:$D$158,$B8,'Execuções'!$C$9:$C$158,K$4,'Execuções'!$K$9:$K$158,"&gt;=0")</x:f>
        <x:v>0</x:v>
      </x:c>
      <x:c r="L8" t="n">
        <x:f>COUNTIFS('Execuções'!$B$9:$B$158,$A8,'Execuções'!$D$9:$D$158,$B8,'Execuções'!$C$9:$C$158,L$4,'Execuções'!$K$9:$K$158,"&gt;=0")</x:f>
        <x:v>0</x:v>
      </x:c>
      <x:c r="M8" t="n">
        <x:f>COUNTIFS('Execuções'!$B$9:$B$158,$A8,'Execuções'!$D$9:$D$158,$B8,'Execuções'!$C$9:$C$158,M$4,'Execuções'!$K$9:$K$158,"&gt;=0")</x:f>
        <x:v>0</x:v>
      </x:c>
      <x:c r="N8" t="n">
        <x:f>COUNTIFS('Execuções'!$B$9:$B$158,$A8,'Execuções'!$D$9:$D$158,$B8,'Execuções'!$C$9:$C$158,N$4,'Execuções'!$K$9:$K$158,"&gt;=0")</x:f>
        <x:v>0</x:v>
      </x:c>
      <x:c r="O8" t="n">
        <x:f>COUNTIFS('Execuções'!$B$9:$B$158,$A8,'Execuções'!$D$9:$D$158,$B8,'Execuções'!$C$9:$C$158,O$4,'Execuções'!$K$9:$K$158,"&gt;=0")</x:f>
        <x:v>0</x:v>
      </x:c>
      <x:c r="P8" t="n">
        <x:f>COUNTIFS('Execuções'!$B$9:$B$158,$A8,'Execuções'!$D$9:$D$158,$B8,'Execuções'!$C$9:$C$158,P$4,'Execuções'!$K$9:$K$158,"&gt;=0")</x:f>
        <x:v>0</x:v>
      </x:c>
      <x:c r="Q8" t="n">
        <x:f>COUNTIFS('Execuções'!$B$9:$B$158,$A8,'Execuções'!$D$9:$D$158,$B8,'Execuções'!$C$9:$C$158,Q$4,'Execuções'!$K$9:$K$158,"&gt;=0")</x:f>
        <x:v>0</x:v>
      </x:c>
      <x:c r="R8" t="n">
        <x:f>COUNTIFS('Execuções'!$B$9:$B$158,$A8,'Execuções'!$D$9:$D$158,$B8,'Execuções'!$C$9:$C$158,R$4,'Execuções'!$K$9:$K$158,"&gt;=0")</x:f>
        <x:v>0</x:v>
      </x:c>
      <x:c r="S8" t="n">
        <x:f>COUNTIFS('Execuções'!$B$9:$B$158,$A8,'Execuções'!$D$9:$D$158,$B8,'Execuções'!$C$9:$C$158,S$4,'Execuções'!$K$9:$K$158,"&gt;=0")</x:f>
        <x:v>0</x:v>
      </x:c>
      <x:c r="T8" t="n">
        <x:f>COUNTIFS('Execuções'!$B$9:$B$158,$A8,'Execuções'!$D$9:$D$158,$B8,'Execuções'!$C$9:$C$158,T$4,'Execuções'!$K$9:$K$158,"&gt;=0")</x:f>
        <x:v>0</x:v>
      </x:c>
    </x:row>
    <x:row r="9" ht="25" customHeight="1">
      <x:c r="A9" s="44" t="str">
        <x:v>M1 — gemma-4-E4B-it-GGUF</x:v>
      </x:c>
      <x:c r="B9" s="53" t="n">
        <x:v>5</x:v>
      </x:c>
      <x:c r="C9" s="54" t="str">
        <x:f>IF(COUNTIFS('Execuções'!$B$9:$B$158,$A9,'Execuções'!$D$9:$D$158,$B9)=0,"",COUNTIF(K9:T9,1))</x:f>
      </x:c>
      <x:c r="D9" s="54" t="str">
        <x:f>IF(OR($C9&lt;&gt;10,COUNTIFS('Execuções'!$B$9:$B$158,$A9,'Execuções'!$D$9:$D$158,$B9)&lt;&gt;10),"",SUMIFS('Execuções'!$F$9:$F$158,'Execuções'!$B$9:$B$158,$A9,'Execuções'!$D$9:$D$158,$B9))</x:f>
      </x:c>
      <x:c r="E9" s="54" t="str">
        <x:f>IF(OR($C9&lt;&gt;10,COUNTIFS('Execuções'!$B$9:$B$158,$A9,'Execuções'!$D$9:$D$158,$B9)&lt;&gt;10),"",SUMIFS('Execuções'!$G$9:$G$158,'Execuções'!$B$9:$B$158,$A9,'Execuções'!$D$9:$D$158,$B9))</x:f>
      </x:c>
      <x:c r="F9" s="54" t="str">
        <x:f>IF(OR($C9&lt;&gt;10,COUNTIFS('Execuções'!$B$9:$B$158,$A9,'Execuções'!$D$9:$D$158,$B9)&lt;&gt;10),"",SUMIFS('Execuções'!$H$9:$H$158,'Execuções'!$B$9:$B$158,$A9,'Execuções'!$D$9:$D$158,$B9))</x:f>
      </x:c>
      <x:c r="G9" s="55" t="str">
        <x:f>IF(COUNT(D9:F9)&lt;&gt;3,"",IF(D9+E9=0,"Indefinida",D9/(D9+E9)))</x:f>
      </x:c>
      <x:c r="H9" s="55" t="str">
        <x:f>IF(COUNT(D9:F9)&lt;&gt;3,"",D9/(D9+F9))</x:f>
      </x:c>
      <x:c r="I9" s="55" t="str">
        <x:f>IF(COUNT(D9:F9)&lt;&gt;3,"",2*D9/(2*D9+E9+F9))</x:f>
      </x:c>
      <x:c r="K9" t="n">
        <x:f>COUNTIFS('Execuções'!$B$9:$B$158,$A9,'Execuções'!$D$9:$D$158,$B9,'Execuções'!$C$9:$C$158,K$4,'Execuções'!$K$9:$K$158,"&gt;=0")</x:f>
        <x:v>0</x:v>
      </x:c>
      <x:c r="L9" t="n">
        <x:f>COUNTIFS('Execuções'!$B$9:$B$158,$A9,'Execuções'!$D$9:$D$158,$B9,'Execuções'!$C$9:$C$158,L$4,'Execuções'!$K$9:$K$158,"&gt;=0")</x:f>
        <x:v>0</x:v>
      </x:c>
      <x:c r="M9" t="n">
        <x:f>COUNTIFS('Execuções'!$B$9:$B$158,$A9,'Execuções'!$D$9:$D$158,$B9,'Execuções'!$C$9:$C$158,M$4,'Execuções'!$K$9:$K$158,"&gt;=0")</x:f>
        <x:v>0</x:v>
      </x:c>
      <x:c r="N9" t="n">
        <x:f>COUNTIFS('Execuções'!$B$9:$B$158,$A9,'Execuções'!$D$9:$D$158,$B9,'Execuções'!$C$9:$C$158,N$4,'Execuções'!$K$9:$K$158,"&gt;=0")</x:f>
        <x:v>0</x:v>
      </x:c>
      <x:c r="O9" t="n">
        <x:f>COUNTIFS('Execuções'!$B$9:$B$158,$A9,'Execuções'!$D$9:$D$158,$B9,'Execuções'!$C$9:$C$158,O$4,'Execuções'!$K$9:$K$158,"&gt;=0")</x:f>
        <x:v>0</x:v>
      </x:c>
      <x:c r="P9" t="n">
        <x:f>COUNTIFS('Execuções'!$B$9:$B$158,$A9,'Execuções'!$D$9:$D$158,$B9,'Execuções'!$C$9:$C$158,P$4,'Execuções'!$K$9:$K$158,"&gt;=0")</x:f>
        <x:v>0</x:v>
      </x:c>
      <x:c r="Q9" t="n">
        <x:f>COUNTIFS('Execuções'!$B$9:$B$158,$A9,'Execuções'!$D$9:$D$158,$B9,'Execuções'!$C$9:$C$158,Q$4,'Execuções'!$K$9:$K$158,"&gt;=0")</x:f>
        <x:v>0</x:v>
      </x:c>
      <x:c r="R9" t="n">
        <x:f>COUNTIFS('Execuções'!$B$9:$B$158,$A9,'Execuções'!$D$9:$D$158,$B9,'Execuções'!$C$9:$C$158,R$4,'Execuções'!$K$9:$K$158,"&gt;=0")</x:f>
        <x:v>0</x:v>
      </x:c>
      <x:c r="S9" t="n">
        <x:f>COUNTIFS('Execuções'!$B$9:$B$158,$A9,'Execuções'!$D$9:$D$158,$B9,'Execuções'!$C$9:$C$158,S$4,'Execuções'!$K$9:$K$158,"&gt;=0")</x:f>
        <x:v>0</x:v>
      </x:c>
      <x:c r="T9" t="n">
        <x:f>COUNTIFS('Execuções'!$B$9:$B$158,$A9,'Execuções'!$D$9:$D$158,$B9,'Execuções'!$C$9:$C$158,T$4,'Execuções'!$K$9:$K$158,"&gt;=0")</x:f>
        <x:v>0</x:v>
      </x:c>
    </x:row>
    <x:row r="10" ht="25" customHeight="1">
      <x:c r="A10" s="44" t="str">
        <x:v>M2 — Qwen3.6-27B-GGUF</x:v>
      </x:c>
      <x:c r="B10" s="53" t="n">
        <x:v>1</x:v>
      </x:c>
      <x:c r="C10" s="54" t="str">
        <x:f>IF(COUNTIFS('Execuções'!$B$9:$B$158,$A10,'Execuções'!$D$9:$D$158,$B10)=0,"",COUNTIF(K10:T10,1))</x:f>
      </x:c>
      <x:c r="D10" s="54" t="str">
        <x:f>IF(OR($C10&lt;&gt;10,COUNTIFS('Execuções'!$B$9:$B$158,$A10,'Execuções'!$D$9:$D$158,$B10)&lt;&gt;10),"",SUMIFS('Execuções'!$F$9:$F$158,'Execuções'!$B$9:$B$158,$A10,'Execuções'!$D$9:$D$158,$B10))</x:f>
      </x:c>
      <x:c r="E10" s="54" t="str">
        <x:f>IF(OR($C10&lt;&gt;10,COUNTIFS('Execuções'!$B$9:$B$158,$A10,'Execuções'!$D$9:$D$158,$B10)&lt;&gt;10),"",SUMIFS('Execuções'!$G$9:$G$158,'Execuções'!$B$9:$B$158,$A10,'Execuções'!$D$9:$D$158,$B10))</x:f>
      </x:c>
      <x:c r="F10" s="54" t="str">
        <x:f>IF(OR($C10&lt;&gt;10,COUNTIFS('Execuções'!$B$9:$B$158,$A10,'Execuções'!$D$9:$D$158,$B10)&lt;&gt;10),"",SUMIFS('Execuções'!$H$9:$H$158,'Execuções'!$B$9:$B$158,$A10,'Execuções'!$D$9:$D$158,$B10))</x:f>
      </x:c>
      <x:c r="G10" s="55" t="str">
        <x:f>IF(COUNT(D10:F10)&lt;&gt;3,"",IF(D10+E10=0,"Indefinida",D10/(D10+E10)))</x:f>
      </x:c>
      <x:c r="H10" s="55" t="str">
        <x:f>IF(COUNT(D10:F10)&lt;&gt;3,"",D10/(D10+F10))</x:f>
      </x:c>
      <x:c r="I10" s="55" t="str">
        <x:f>IF(COUNT(D10:F10)&lt;&gt;3,"",2*D10/(2*D10+E10+F10))</x:f>
      </x:c>
      <x:c r="K10" t="n">
        <x:f>COUNTIFS('Execuções'!$B$9:$B$158,$A10,'Execuções'!$D$9:$D$158,$B10,'Execuções'!$C$9:$C$158,K$4,'Execuções'!$K$9:$K$158,"&gt;=0")</x:f>
        <x:v>0</x:v>
      </x:c>
      <x:c r="L10" t="n">
        <x:f>COUNTIFS('Execuções'!$B$9:$B$158,$A10,'Execuções'!$D$9:$D$158,$B10,'Execuções'!$C$9:$C$158,L$4,'Execuções'!$K$9:$K$158,"&gt;=0")</x:f>
        <x:v>0</x:v>
      </x:c>
      <x:c r="M10" t="n">
        <x:f>COUNTIFS('Execuções'!$B$9:$B$158,$A10,'Execuções'!$D$9:$D$158,$B10,'Execuções'!$C$9:$C$158,M$4,'Execuções'!$K$9:$K$158,"&gt;=0")</x:f>
        <x:v>0</x:v>
      </x:c>
      <x:c r="N10" t="n">
        <x:f>COUNTIFS('Execuções'!$B$9:$B$158,$A10,'Execuções'!$D$9:$D$158,$B10,'Execuções'!$C$9:$C$158,N$4,'Execuções'!$K$9:$K$158,"&gt;=0")</x:f>
        <x:v>0</x:v>
      </x:c>
      <x:c r="O10" t="n">
        <x:f>COUNTIFS('Execuções'!$B$9:$B$158,$A10,'Execuções'!$D$9:$D$158,$B10,'Execuções'!$C$9:$C$158,O$4,'Execuções'!$K$9:$K$158,"&gt;=0")</x:f>
        <x:v>0</x:v>
      </x:c>
      <x:c r="P10" t="n">
        <x:f>COUNTIFS('Execuções'!$B$9:$B$158,$A10,'Execuções'!$D$9:$D$158,$B10,'Execuções'!$C$9:$C$158,P$4,'Execuções'!$K$9:$K$158,"&gt;=0")</x:f>
        <x:v>0</x:v>
      </x:c>
      <x:c r="Q10" t="n">
        <x:f>COUNTIFS('Execuções'!$B$9:$B$158,$A10,'Execuções'!$D$9:$D$158,$B10,'Execuções'!$C$9:$C$158,Q$4,'Execuções'!$K$9:$K$158,"&gt;=0")</x:f>
        <x:v>0</x:v>
      </x:c>
      <x:c r="R10" t="n">
        <x:f>COUNTIFS('Execuções'!$B$9:$B$158,$A10,'Execuções'!$D$9:$D$158,$B10,'Execuções'!$C$9:$C$158,R$4,'Execuções'!$K$9:$K$158,"&gt;=0")</x:f>
        <x:v>0</x:v>
      </x:c>
      <x:c r="S10" t="n">
        <x:f>COUNTIFS('Execuções'!$B$9:$B$158,$A10,'Execuções'!$D$9:$D$158,$B10,'Execuções'!$C$9:$C$158,S$4,'Execuções'!$K$9:$K$158,"&gt;=0")</x:f>
        <x:v>0</x:v>
      </x:c>
      <x:c r="T10" t="n">
        <x:f>COUNTIFS('Execuções'!$B$9:$B$158,$A10,'Execuções'!$D$9:$D$158,$B10,'Execuções'!$C$9:$C$158,T$4,'Execuções'!$K$9:$K$158,"&gt;=0")</x:f>
        <x:v>0</x:v>
      </x:c>
    </x:row>
    <x:row r="11" ht="25" customHeight="1">
      <x:c r="A11" s="44" t="str">
        <x:v>M2 — Qwen3.6-27B-GGUF</x:v>
      </x:c>
      <x:c r="B11" s="53" t="n">
        <x:v>2</x:v>
      </x:c>
      <x:c r="C11" s="54" t="str">
        <x:f>IF(COUNTIFS('Execuções'!$B$9:$B$158,$A11,'Execuções'!$D$9:$D$158,$B11)=0,"",COUNTIF(K11:T11,1))</x:f>
      </x:c>
      <x:c r="D11" s="54" t="str">
        <x:f>IF(OR($C11&lt;&gt;10,COUNTIFS('Execuções'!$B$9:$B$158,$A11,'Execuções'!$D$9:$D$158,$B11)&lt;&gt;10),"",SUMIFS('Execuções'!$F$9:$F$158,'Execuções'!$B$9:$B$158,$A11,'Execuções'!$D$9:$D$158,$B11))</x:f>
      </x:c>
      <x:c r="E11" s="54" t="str">
        <x:f>IF(OR($C11&lt;&gt;10,COUNTIFS('Execuções'!$B$9:$B$158,$A11,'Execuções'!$D$9:$D$158,$B11)&lt;&gt;10),"",SUMIFS('Execuções'!$G$9:$G$158,'Execuções'!$B$9:$B$158,$A11,'Execuções'!$D$9:$D$158,$B11))</x:f>
      </x:c>
      <x:c r="F11" s="54" t="str">
        <x:f>IF(OR($C11&lt;&gt;10,COUNTIFS('Execuções'!$B$9:$B$158,$A11,'Execuções'!$D$9:$D$158,$B11)&lt;&gt;10),"",SUMIFS('Execuções'!$H$9:$H$158,'Execuções'!$B$9:$B$158,$A11,'Execuções'!$D$9:$D$158,$B11))</x:f>
      </x:c>
      <x:c r="G11" s="55" t="str">
        <x:f>IF(COUNT(D11:F11)&lt;&gt;3,"",IF(D11+E11=0,"Indefinida",D11/(D11+E11)))</x:f>
      </x:c>
      <x:c r="H11" s="55" t="str">
        <x:f>IF(COUNT(D11:F11)&lt;&gt;3,"",D11/(D11+F11))</x:f>
      </x:c>
      <x:c r="I11" s="55" t="str">
        <x:f>IF(COUNT(D11:F11)&lt;&gt;3,"",2*D11/(2*D11+E11+F11))</x:f>
      </x:c>
      <x:c r="K11" t="n">
        <x:f>COUNTIFS('Execuções'!$B$9:$B$158,$A11,'Execuções'!$D$9:$D$158,$B11,'Execuções'!$C$9:$C$158,K$4,'Execuções'!$K$9:$K$158,"&gt;=0")</x:f>
        <x:v>0</x:v>
      </x:c>
      <x:c r="L11" t="n">
        <x:f>COUNTIFS('Execuções'!$B$9:$B$158,$A11,'Execuções'!$D$9:$D$158,$B11,'Execuções'!$C$9:$C$158,L$4,'Execuções'!$K$9:$K$158,"&gt;=0")</x:f>
        <x:v>0</x:v>
      </x:c>
      <x:c r="M11" t="n">
        <x:f>COUNTIFS('Execuções'!$B$9:$B$158,$A11,'Execuções'!$D$9:$D$158,$B11,'Execuções'!$C$9:$C$158,M$4,'Execuções'!$K$9:$K$158,"&gt;=0")</x:f>
        <x:v>0</x:v>
      </x:c>
      <x:c r="N11" t="n">
        <x:f>COUNTIFS('Execuções'!$B$9:$B$158,$A11,'Execuções'!$D$9:$D$158,$B11,'Execuções'!$C$9:$C$158,N$4,'Execuções'!$K$9:$K$158,"&gt;=0")</x:f>
        <x:v>0</x:v>
      </x:c>
      <x:c r="O11" t="n">
        <x:f>COUNTIFS('Execuções'!$B$9:$B$158,$A11,'Execuções'!$D$9:$D$158,$B11,'Execuções'!$C$9:$C$158,O$4,'Execuções'!$K$9:$K$158,"&gt;=0")</x:f>
        <x:v>0</x:v>
      </x:c>
      <x:c r="P11" t="n">
        <x:f>COUNTIFS('Execuções'!$B$9:$B$158,$A11,'Execuções'!$D$9:$D$158,$B11,'Execuções'!$C$9:$C$158,P$4,'Execuções'!$K$9:$K$158,"&gt;=0")</x:f>
        <x:v>0</x:v>
      </x:c>
      <x:c r="Q11" t="n">
        <x:f>COUNTIFS('Execuções'!$B$9:$B$158,$A11,'Execuções'!$D$9:$D$158,$B11,'Execuções'!$C$9:$C$158,Q$4,'Execuções'!$K$9:$K$158,"&gt;=0")</x:f>
        <x:v>0</x:v>
      </x:c>
      <x:c r="R11" t="n">
        <x:f>COUNTIFS('Execuções'!$B$9:$B$158,$A11,'Execuções'!$D$9:$D$158,$B11,'Execuções'!$C$9:$C$158,R$4,'Execuções'!$K$9:$K$158,"&gt;=0")</x:f>
        <x:v>0</x:v>
      </x:c>
      <x:c r="S11" t="n">
        <x:f>COUNTIFS('Execuções'!$B$9:$B$158,$A11,'Execuções'!$D$9:$D$158,$B11,'Execuções'!$C$9:$C$158,S$4,'Execuções'!$K$9:$K$158,"&gt;=0")</x:f>
        <x:v>0</x:v>
      </x:c>
      <x:c r="T11" t="n">
        <x:f>COUNTIFS('Execuções'!$B$9:$B$158,$A11,'Execuções'!$D$9:$D$158,$B11,'Execuções'!$C$9:$C$158,T$4,'Execuções'!$K$9:$K$158,"&gt;=0")</x:f>
        <x:v>0</x:v>
      </x:c>
    </x:row>
    <x:row r="12" ht="25" customHeight="1">
      <x:c r="A12" s="44" t="str">
        <x:v>M2 — Qwen3.6-27B-GGUF</x:v>
      </x:c>
      <x:c r="B12" s="53" t="n">
        <x:v>3</x:v>
      </x:c>
      <x:c r="C12" s="54" t="str">
        <x:f>IF(COUNTIFS('Execuções'!$B$9:$B$158,$A12,'Execuções'!$D$9:$D$158,$B12)=0,"",COUNTIF(K12:T12,1))</x:f>
      </x:c>
      <x:c r="D12" s="54" t="str">
        <x:f>IF(OR($C12&lt;&gt;10,COUNTIFS('Execuções'!$B$9:$B$158,$A12,'Execuções'!$D$9:$D$158,$B12)&lt;&gt;10),"",SUMIFS('Execuções'!$F$9:$F$158,'Execuções'!$B$9:$B$158,$A12,'Execuções'!$D$9:$D$158,$B12))</x:f>
      </x:c>
      <x:c r="E12" s="54" t="str">
        <x:f>IF(OR($C12&lt;&gt;10,COUNTIFS('Execuções'!$B$9:$B$158,$A12,'Execuções'!$D$9:$D$158,$B12)&lt;&gt;10),"",SUMIFS('Execuções'!$G$9:$G$158,'Execuções'!$B$9:$B$158,$A12,'Execuções'!$D$9:$D$158,$B12))</x:f>
      </x:c>
      <x:c r="F12" s="54" t="str">
        <x:f>IF(OR($C12&lt;&gt;10,COUNTIFS('Execuções'!$B$9:$B$158,$A12,'Execuções'!$D$9:$D$158,$B12)&lt;&gt;10),"",SUMIFS('Execuções'!$H$9:$H$158,'Execuções'!$B$9:$B$158,$A12,'Execuções'!$D$9:$D$158,$B12))</x:f>
      </x:c>
      <x:c r="G12" s="55" t="str">
        <x:f>IF(COUNT(D12:F12)&lt;&gt;3,"",IF(D12+E12=0,"Indefinida",D12/(D12+E12)))</x:f>
      </x:c>
      <x:c r="H12" s="55" t="str">
        <x:f>IF(COUNT(D12:F12)&lt;&gt;3,"",D12/(D12+F12))</x:f>
      </x:c>
      <x:c r="I12" s="55" t="str">
        <x:f>IF(COUNT(D12:F12)&lt;&gt;3,"",2*D12/(2*D12+E12+F12))</x:f>
      </x:c>
      <x:c r="K12" t="n">
        <x:f>COUNTIFS('Execuções'!$B$9:$B$158,$A12,'Execuções'!$D$9:$D$158,$B12,'Execuções'!$C$9:$C$158,K$4,'Execuções'!$K$9:$K$158,"&gt;=0")</x:f>
        <x:v>0</x:v>
      </x:c>
      <x:c r="L12" t="n">
        <x:f>COUNTIFS('Execuções'!$B$9:$B$158,$A12,'Execuções'!$D$9:$D$158,$B12,'Execuções'!$C$9:$C$158,L$4,'Execuções'!$K$9:$K$158,"&gt;=0")</x:f>
        <x:v>0</x:v>
      </x:c>
      <x:c r="M12" t="n">
        <x:f>COUNTIFS('Execuções'!$B$9:$B$158,$A12,'Execuções'!$D$9:$D$158,$B12,'Execuções'!$C$9:$C$158,M$4,'Execuções'!$K$9:$K$158,"&gt;=0")</x:f>
        <x:v>0</x:v>
      </x:c>
      <x:c r="N12" t="n">
        <x:f>COUNTIFS('Execuções'!$B$9:$B$158,$A12,'Execuções'!$D$9:$D$158,$B12,'Execuções'!$C$9:$C$158,N$4,'Execuções'!$K$9:$K$158,"&gt;=0")</x:f>
        <x:v>0</x:v>
      </x:c>
      <x:c r="O12" t="n">
        <x:f>COUNTIFS('Execuções'!$B$9:$B$158,$A12,'Execuções'!$D$9:$D$158,$B12,'Execuções'!$C$9:$C$158,O$4,'Execuções'!$K$9:$K$158,"&gt;=0")</x:f>
        <x:v>0</x:v>
      </x:c>
      <x:c r="P12" t="n">
        <x:f>COUNTIFS('Execuções'!$B$9:$B$158,$A12,'Execuções'!$D$9:$D$158,$B12,'Execuções'!$C$9:$C$158,P$4,'Execuções'!$K$9:$K$158,"&gt;=0")</x:f>
        <x:v>0</x:v>
      </x:c>
      <x:c r="Q12" t="n">
        <x:f>COUNTIFS('Execuções'!$B$9:$B$158,$A12,'Execuções'!$D$9:$D$158,$B12,'Execuções'!$C$9:$C$158,Q$4,'Execuções'!$K$9:$K$158,"&gt;=0")</x:f>
        <x:v>0</x:v>
      </x:c>
      <x:c r="R12" t="n">
        <x:f>COUNTIFS('Execuções'!$B$9:$B$158,$A12,'Execuções'!$D$9:$D$158,$B12,'Execuções'!$C$9:$C$158,R$4,'Execuções'!$K$9:$K$158,"&gt;=0")</x:f>
        <x:v>0</x:v>
      </x:c>
      <x:c r="S12" t="n">
        <x:f>COUNTIFS('Execuções'!$B$9:$B$158,$A12,'Execuções'!$D$9:$D$158,$B12,'Execuções'!$C$9:$C$158,S$4,'Execuções'!$K$9:$K$158,"&gt;=0")</x:f>
        <x:v>0</x:v>
      </x:c>
      <x:c r="T12" t="n">
        <x:f>COUNTIFS('Execuções'!$B$9:$B$158,$A12,'Execuções'!$D$9:$D$158,$B12,'Execuções'!$C$9:$C$158,T$4,'Execuções'!$K$9:$K$158,"&gt;=0")</x:f>
        <x:v>0</x:v>
      </x:c>
    </x:row>
    <x:row r="13" ht="25" customHeight="1">
      <x:c r="A13" s="44" t="str">
        <x:v>M2 — Qwen3.6-27B-GGUF</x:v>
      </x:c>
      <x:c r="B13" s="53" t="n">
        <x:v>4</x:v>
      </x:c>
      <x:c r="C13" s="54" t="str">
        <x:f>IF(COUNTIFS('Execuções'!$B$9:$B$158,$A13,'Execuções'!$D$9:$D$158,$B13)=0,"",COUNTIF(K13:T13,1))</x:f>
      </x:c>
      <x:c r="D13" s="54" t="str">
        <x:f>IF(OR($C13&lt;&gt;10,COUNTIFS('Execuções'!$B$9:$B$158,$A13,'Execuções'!$D$9:$D$158,$B13)&lt;&gt;10),"",SUMIFS('Execuções'!$F$9:$F$158,'Execuções'!$B$9:$B$158,$A13,'Execuções'!$D$9:$D$158,$B13))</x:f>
      </x:c>
      <x:c r="E13" s="54" t="str">
        <x:f>IF(OR($C13&lt;&gt;10,COUNTIFS('Execuções'!$B$9:$B$158,$A13,'Execuções'!$D$9:$D$158,$B13)&lt;&gt;10),"",SUMIFS('Execuções'!$G$9:$G$158,'Execuções'!$B$9:$B$158,$A13,'Execuções'!$D$9:$D$158,$B13))</x:f>
      </x:c>
      <x:c r="F13" s="54" t="str">
        <x:f>IF(OR($C13&lt;&gt;10,COUNTIFS('Execuções'!$B$9:$B$158,$A13,'Execuções'!$D$9:$D$158,$B13)&lt;&gt;10),"",SUMIFS('Execuções'!$H$9:$H$158,'Execuções'!$B$9:$B$158,$A13,'Execuções'!$D$9:$D$158,$B13))</x:f>
      </x:c>
      <x:c r="G13" s="55" t="str">
        <x:f>IF(COUNT(D13:F13)&lt;&gt;3,"",IF(D13+E13=0,"Indefinida",D13/(D13+E13)))</x:f>
      </x:c>
      <x:c r="H13" s="55" t="str">
        <x:f>IF(COUNT(D13:F13)&lt;&gt;3,"",D13/(D13+F13))</x:f>
      </x:c>
      <x:c r="I13" s="55" t="str">
        <x:f>IF(COUNT(D13:F13)&lt;&gt;3,"",2*D13/(2*D13+E13+F13))</x:f>
      </x:c>
      <x:c r="K13" t="n">
        <x:f>COUNTIFS('Execuções'!$B$9:$B$158,$A13,'Execuções'!$D$9:$D$158,$B13,'Execuções'!$C$9:$C$158,K$4,'Execuções'!$K$9:$K$158,"&gt;=0")</x:f>
        <x:v>0</x:v>
      </x:c>
      <x:c r="L13" t="n">
        <x:f>COUNTIFS('Execuções'!$B$9:$B$158,$A13,'Execuções'!$D$9:$D$158,$B13,'Execuções'!$C$9:$C$158,L$4,'Execuções'!$K$9:$K$158,"&gt;=0")</x:f>
        <x:v>0</x:v>
      </x:c>
      <x:c r="M13" t="n">
        <x:f>COUNTIFS('Execuções'!$B$9:$B$158,$A13,'Execuções'!$D$9:$D$158,$B13,'Execuções'!$C$9:$C$158,M$4,'Execuções'!$K$9:$K$158,"&gt;=0")</x:f>
        <x:v>0</x:v>
      </x:c>
      <x:c r="N13" t="n">
        <x:f>COUNTIFS('Execuções'!$B$9:$B$158,$A13,'Execuções'!$D$9:$D$158,$B13,'Execuções'!$C$9:$C$158,N$4,'Execuções'!$K$9:$K$158,"&gt;=0")</x:f>
        <x:v>0</x:v>
      </x:c>
      <x:c r="O13" t="n">
        <x:f>COUNTIFS('Execuções'!$B$9:$B$158,$A13,'Execuções'!$D$9:$D$158,$B13,'Execuções'!$C$9:$C$158,O$4,'Execuções'!$K$9:$K$158,"&gt;=0")</x:f>
        <x:v>0</x:v>
      </x:c>
      <x:c r="P13" t="n">
        <x:f>COUNTIFS('Execuções'!$B$9:$B$158,$A13,'Execuções'!$D$9:$D$158,$B13,'Execuções'!$C$9:$C$158,P$4,'Execuções'!$K$9:$K$158,"&gt;=0")</x:f>
        <x:v>0</x:v>
      </x:c>
      <x:c r="Q13" t="n">
        <x:f>COUNTIFS('Execuções'!$B$9:$B$158,$A13,'Execuções'!$D$9:$D$158,$B13,'Execuções'!$C$9:$C$158,Q$4,'Execuções'!$K$9:$K$158,"&gt;=0")</x:f>
        <x:v>0</x:v>
      </x:c>
      <x:c r="R13" t="n">
        <x:f>COUNTIFS('Execuções'!$B$9:$B$158,$A13,'Execuções'!$D$9:$D$158,$B13,'Execuções'!$C$9:$C$158,R$4,'Execuções'!$K$9:$K$158,"&gt;=0")</x:f>
        <x:v>0</x:v>
      </x:c>
      <x:c r="S13" t="n">
        <x:f>COUNTIFS('Execuções'!$B$9:$B$158,$A13,'Execuções'!$D$9:$D$158,$B13,'Execuções'!$C$9:$C$158,S$4,'Execuções'!$K$9:$K$158,"&gt;=0")</x:f>
        <x:v>0</x:v>
      </x:c>
      <x:c r="T13" t="n">
        <x:f>COUNTIFS('Execuções'!$B$9:$B$158,$A13,'Execuções'!$D$9:$D$158,$B13,'Execuções'!$C$9:$C$158,T$4,'Execuções'!$K$9:$K$158,"&gt;=0")</x:f>
        <x:v>0</x:v>
      </x:c>
    </x:row>
    <x:row r="14" ht="25" customHeight="1">
      <x:c r="A14" s="44" t="str">
        <x:v>M2 — Qwen3.6-27B-GGUF</x:v>
      </x:c>
      <x:c r="B14" s="53" t="n">
        <x:v>5</x:v>
      </x:c>
      <x:c r="C14" s="54" t="str">
        <x:f>IF(COUNTIFS('Execuções'!$B$9:$B$158,$A14,'Execuções'!$D$9:$D$158,$B14)=0,"",COUNTIF(K14:T14,1))</x:f>
      </x:c>
      <x:c r="D14" s="54" t="str">
        <x:f>IF(OR($C14&lt;&gt;10,COUNTIFS('Execuções'!$B$9:$B$158,$A14,'Execuções'!$D$9:$D$158,$B14)&lt;&gt;10),"",SUMIFS('Execuções'!$F$9:$F$158,'Execuções'!$B$9:$B$158,$A14,'Execuções'!$D$9:$D$158,$B14))</x:f>
      </x:c>
      <x:c r="E14" s="54" t="str">
        <x:f>IF(OR($C14&lt;&gt;10,COUNTIFS('Execuções'!$B$9:$B$158,$A14,'Execuções'!$D$9:$D$158,$B14)&lt;&gt;10),"",SUMIFS('Execuções'!$G$9:$G$158,'Execuções'!$B$9:$B$158,$A14,'Execuções'!$D$9:$D$158,$B14))</x:f>
      </x:c>
      <x:c r="F14" s="54" t="str">
        <x:f>IF(OR($C14&lt;&gt;10,COUNTIFS('Execuções'!$B$9:$B$158,$A14,'Execuções'!$D$9:$D$158,$B14)&lt;&gt;10),"",SUMIFS('Execuções'!$H$9:$H$158,'Execuções'!$B$9:$B$158,$A14,'Execuções'!$D$9:$D$158,$B14))</x:f>
      </x:c>
      <x:c r="G14" s="55" t="str">
        <x:f>IF(COUNT(D14:F14)&lt;&gt;3,"",IF(D14+E14=0,"Indefinida",D14/(D14+E14)))</x:f>
      </x:c>
      <x:c r="H14" s="55" t="str">
        <x:f>IF(COUNT(D14:F14)&lt;&gt;3,"",D14/(D14+F14))</x:f>
      </x:c>
      <x:c r="I14" s="55" t="str">
        <x:f>IF(COUNT(D14:F14)&lt;&gt;3,"",2*D14/(2*D14+E14+F14))</x:f>
      </x:c>
      <x:c r="K14" t="n">
        <x:f>COUNTIFS('Execuções'!$B$9:$B$158,$A14,'Execuções'!$D$9:$D$158,$B14,'Execuções'!$C$9:$C$158,K$4,'Execuções'!$K$9:$K$158,"&gt;=0")</x:f>
        <x:v>0</x:v>
      </x:c>
      <x:c r="L14" t="n">
        <x:f>COUNTIFS('Execuções'!$B$9:$B$158,$A14,'Execuções'!$D$9:$D$158,$B14,'Execuções'!$C$9:$C$158,L$4,'Execuções'!$K$9:$K$158,"&gt;=0")</x:f>
        <x:v>0</x:v>
      </x:c>
      <x:c r="M14" t="n">
        <x:f>COUNTIFS('Execuções'!$B$9:$B$158,$A14,'Execuções'!$D$9:$D$158,$B14,'Execuções'!$C$9:$C$158,M$4,'Execuções'!$K$9:$K$158,"&gt;=0")</x:f>
        <x:v>0</x:v>
      </x:c>
      <x:c r="N14" t="n">
        <x:f>COUNTIFS('Execuções'!$B$9:$B$158,$A14,'Execuções'!$D$9:$D$158,$B14,'Execuções'!$C$9:$C$158,N$4,'Execuções'!$K$9:$K$158,"&gt;=0")</x:f>
        <x:v>0</x:v>
      </x:c>
      <x:c r="O14" t="n">
        <x:f>COUNTIFS('Execuções'!$B$9:$B$158,$A14,'Execuções'!$D$9:$D$158,$B14,'Execuções'!$C$9:$C$158,O$4,'Execuções'!$K$9:$K$158,"&gt;=0")</x:f>
        <x:v>0</x:v>
      </x:c>
      <x:c r="P14" t="n">
        <x:f>COUNTIFS('Execuções'!$B$9:$B$158,$A14,'Execuções'!$D$9:$D$158,$B14,'Execuções'!$C$9:$C$158,P$4,'Execuções'!$K$9:$K$158,"&gt;=0")</x:f>
        <x:v>0</x:v>
      </x:c>
      <x:c r="Q14" t="n">
        <x:f>COUNTIFS('Execuções'!$B$9:$B$158,$A14,'Execuções'!$D$9:$D$158,$B14,'Execuções'!$C$9:$C$158,Q$4,'Execuções'!$K$9:$K$158,"&gt;=0")</x:f>
        <x:v>0</x:v>
      </x:c>
      <x:c r="R14" t="n">
        <x:f>COUNTIFS('Execuções'!$B$9:$B$158,$A14,'Execuções'!$D$9:$D$158,$B14,'Execuções'!$C$9:$C$158,R$4,'Execuções'!$K$9:$K$158,"&gt;=0")</x:f>
        <x:v>0</x:v>
      </x:c>
      <x:c r="S14" t="n">
        <x:f>COUNTIFS('Execuções'!$B$9:$B$158,$A14,'Execuções'!$D$9:$D$158,$B14,'Execuções'!$C$9:$C$158,S$4,'Execuções'!$K$9:$K$158,"&gt;=0")</x:f>
        <x:v>0</x:v>
      </x:c>
      <x:c r="T14" t="n">
        <x:f>COUNTIFS('Execuções'!$B$9:$B$158,$A14,'Execuções'!$D$9:$D$158,$B14,'Execuções'!$C$9:$C$158,T$4,'Execuções'!$K$9:$K$158,"&gt;=0")</x:f>
        <x:v>0</x:v>
      </x:c>
    </x:row>
    <x:row r="15" ht="25" customHeight="1">
      <x:c r="A15" s="44" t="str">
        <x:v>M3 — GPT-5.6 Luna</x:v>
      </x:c>
      <x:c r="B15" s="53" t="n">
        <x:v>1</x:v>
      </x:c>
      <x:c r="C15" s="54" t="str">
        <x:f>IF(COUNTIFS('Execuções'!$B$9:$B$158,$A15,'Execuções'!$D$9:$D$158,$B15)=0,"",COUNTIF(K15:T15,1))</x:f>
      </x:c>
      <x:c r="D15" s="54" t="str">
        <x:f>IF(OR($C15&lt;&gt;10,COUNTIFS('Execuções'!$B$9:$B$158,$A15,'Execuções'!$D$9:$D$158,$B15)&lt;&gt;10),"",SUMIFS('Execuções'!$F$9:$F$158,'Execuções'!$B$9:$B$158,$A15,'Execuções'!$D$9:$D$158,$B15))</x:f>
      </x:c>
      <x:c r="E15" s="54" t="str">
        <x:f>IF(OR($C15&lt;&gt;10,COUNTIFS('Execuções'!$B$9:$B$158,$A15,'Execuções'!$D$9:$D$158,$B15)&lt;&gt;10),"",SUMIFS('Execuções'!$G$9:$G$158,'Execuções'!$B$9:$B$158,$A15,'Execuções'!$D$9:$D$158,$B15))</x:f>
      </x:c>
      <x:c r="F15" s="54" t="str">
        <x:f>IF(OR($C15&lt;&gt;10,COUNTIFS('Execuções'!$B$9:$B$158,$A15,'Execuções'!$D$9:$D$158,$B15)&lt;&gt;10),"",SUMIFS('Execuções'!$H$9:$H$158,'Execuções'!$B$9:$B$158,$A15,'Execuções'!$D$9:$D$158,$B15))</x:f>
      </x:c>
      <x:c r="G15" s="55" t="str">
        <x:f>IF(COUNT(D15:F15)&lt;&gt;3,"",IF(D15+E15=0,"Indefinida",D15/(D15+E15)))</x:f>
      </x:c>
      <x:c r="H15" s="55" t="str">
        <x:f>IF(COUNT(D15:F15)&lt;&gt;3,"",D15/(D15+F15))</x:f>
      </x:c>
      <x:c r="I15" s="55" t="str">
        <x:f>IF(COUNT(D15:F15)&lt;&gt;3,"",2*D15/(2*D15+E15+F15))</x:f>
      </x:c>
      <x:c r="K15" t="n">
        <x:f>COUNTIFS('Execuções'!$B$9:$B$158,$A15,'Execuções'!$D$9:$D$158,$B15,'Execuções'!$C$9:$C$158,K$4,'Execuções'!$K$9:$K$158,"&gt;=0")</x:f>
        <x:v>0</x:v>
      </x:c>
      <x:c r="L15" t="n">
        <x:f>COUNTIFS('Execuções'!$B$9:$B$158,$A15,'Execuções'!$D$9:$D$158,$B15,'Execuções'!$C$9:$C$158,L$4,'Execuções'!$K$9:$K$158,"&gt;=0")</x:f>
        <x:v>0</x:v>
      </x:c>
      <x:c r="M15" t="n">
        <x:f>COUNTIFS('Execuções'!$B$9:$B$158,$A15,'Execuções'!$D$9:$D$158,$B15,'Execuções'!$C$9:$C$158,M$4,'Execuções'!$K$9:$K$158,"&gt;=0")</x:f>
        <x:v>0</x:v>
      </x:c>
      <x:c r="N15" t="n">
        <x:f>COUNTIFS('Execuções'!$B$9:$B$158,$A15,'Execuções'!$D$9:$D$158,$B15,'Execuções'!$C$9:$C$158,N$4,'Execuções'!$K$9:$K$158,"&gt;=0")</x:f>
        <x:v>0</x:v>
      </x:c>
      <x:c r="O15" t="n">
        <x:f>COUNTIFS('Execuções'!$B$9:$B$158,$A15,'Execuções'!$D$9:$D$158,$B15,'Execuções'!$C$9:$C$158,O$4,'Execuções'!$K$9:$K$158,"&gt;=0")</x:f>
        <x:v>0</x:v>
      </x:c>
      <x:c r="P15" t="n">
        <x:f>COUNTIFS('Execuções'!$B$9:$B$158,$A15,'Execuções'!$D$9:$D$158,$B15,'Execuções'!$C$9:$C$158,P$4,'Execuções'!$K$9:$K$158,"&gt;=0")</x:f>
        <x:v>0</x:v>
      </x:c>
      <x:c r="Q15" t="n">
        <x:f>COUNTIFS('Execuções'!$B$9:$B$158,$A15,'Execuções'!$D$9:$D$158,$B15,'Execuções'!$C$9:$C$158,Q$4,'Execuções'!$K$9:$K$158,"&gt;=0")</x:f>
        <x:v>0</x:v>
      </x:c>
      <x:c r="R15" t="n">
        <x:f>COUNTIFS('Execuções'!$B$9:$B$158,$A15,'Execuções'!$D$9:$D$158,$B15,'Execuções'!$C$9:$C$158,R$4,'Execuções'!$K$9:$K$158,"&gt;=0")</x:f>
        <x:v>0</x:v>
      </x:c>
      <x:c r="S15" t="n">
        <x:f>COUNTIFS('Execuções'!$B$9:$B$158,$A15,'Execuções'!$D$9:$D$158,$B15,'Execuções'!$C$9:$C$158,S$4,'Execuções'!$K$9:$K$158,"&gt;=0")</x:f>
        <x:v>0</x:v>
      </x:c>
      <x:c r="T15" t="n">
        <x:f>COUNTIFS('Execuções'!$B$9:$B$158,$A15,'Execuções'!$D$9:$D$158,$B15,'Execuções'!$C$9:$C$158,T$4,'Execuções'!$K$9:$K$158,"&gt;=0")</x:f>
        <x:v>0</x:v>
      </x:c>
    </x:row>
    <x:row r="16" ht="25" customHeight="1">
      <x:c r="A16" s="44" t="str">
        <x:v>M3 — GPT-5.6 Luna</x:v>
      </x:c>
      <x:c r="B16" s="53" t="n">
        <x:v>2</x:v>
      </x:c>
      <x:c r="C16" s="54" t="str">
        <x:f>IF(COUNTIFS('Execuções'!$B$9:$B$158,$A16,'Execuções'!$D$9:$D$158,$B16)=0,"",COUNTIF(K16:T16,1))</x:f>
      </x:c>
      <x:c r="D16" s="54" t="str">
        <x:f>IF(OR($C16&lt;&gt;10,COUNTIFS('Execuções'!$B$9:$B$158,$A16,'Execuções'!$D$9:$D$158,$B16)&lt;&gt;10),"",SUMIFS('Execuções'!$F$9:$F$158,'Execuções'!$B$9:$B$158,$A16,'Execuções'!$D$9:$D$158,$B16))</x:f>
      </x:c>
      <x:c r="E16" s="54" t="str">
        <x:f>IF(OR($C16&lt;&gt;10,COUNTIFS('Execuções'!$B$9:$B$158,$A16,'Execuções'!$D$9:$D$158,$B16)&lt;&gt;10),"",SUMIFS('Execuções'!$G$9:$G$158,'Execuções'!$B$9:$B$158,$A16,'Execuções'!$D$9:$D$158,$B16))</x:f>
      </x:c>
      <x:c r="F16" s="54" t="str">
        <x:f>IF(OR($C16&lt;&gt;10,COUNTIFS('Execuções'!$B$9:$B$158,$A16,'Execuções'!$D$9:$D$158,$B16)&lt;&gt;10),"",SUMIFS('Execuções'!$H$9:$H$158,'Execuções'!$B$9:$B$158,$A16,'Execuções'!$D$9:$D$158,$B16))</x:f>
      </x:c>
      <x:c r="G16" s="55" t="str">
        <x:f>IF(COUNT(D16:F16)&lt;&gt;3,"",IF(D16+E16=0,"Indefinida",D16/(D16+E16)))</x:f>
      </x:c>
      <x:c r="H16" s="55" t="str">
        <x:f>IF(COUNT(D16:F16)&lt;&gt;3,"",D16/(D16+F16))</x:f>
      </x:c>
      <x:c r="I16" s="55" t="str">
        <x:f>IF(COUNT(D16:F16)&lt;&gt;3,"",2*D16/(2*D16+E16+F16))</x:f>
      </x:c>
      <x:c r="K16" t="n">
        <x:f>COUNTIFS('Execuções'!$B$9:$B$158,$A16,'Execuções'!$D$9:$D$158,$B16,'Execuções'!$C$9:$C$158,K$4,'Execuções'!$K$9:$K$158,"&gt;=0")</x:f>
        <x:v>0</x:v>
      </x:c>
      <x:c r="L16" t="n">
        <x:f>COUNTIFS('Execuções'!$B$9:$B$158,$A16,'Execuções'!$D$9:$D$158,$B16,'Execuções'!$C$9:$C$158,L$4,'Execuções'!$K$9:$K$158,"&gt;=0")</x:f>
        <x:v>0</x:v>
      </x:c>
      <x:c r="M16" t="n">
        <x:f>COUNTIFS('Execuções'!$B$9:$B$158,$A16,'Execuções'!$D$9:$D$158,$B16,'Execuções'!$C$9:$C$158,M$4,'Execuções'!$K$9:$K$158,"&gt;=0")</x:f>
        <x:v>0</x:v>
      </x:c>
      <x:c r="N16" t="n">
        <x:f>COUNTIFS('Execuções'!$B$9:$B$158,$A16,'Execuções'!$D$9:$D$158,$B16,'Execuções'!$C$9:$C$158,N$4,'Execuções'!$K$9:$K$158,"&gt;=0")</x:f>
        <x:v>0</x:v>
      </x:c>
      <x:c r="O16" t="n">
        <x:f>COUNTIFS('Execuções'!$B$9:$B$158,$A16,'Execuções'!$D$9:$D$158,$B16,'Execuções'!$C$9:$C$158,O$4,'Execuções'!$K$9:$K$158,"&gt;=0")</x:f>
        <x:v>0</x:v>
      </x:c>
      <x:c r="P16" t="n">
        <x:f>COUNTIFS('Execuções'!$B$9:$B$158,$A16,'Execuções'!$D$9:$D$158,$B16,'Execuções'!$C$9:$C$158,P$4,'Execuções'!$K$9:$K$158,"&gt;=0")</x:f>
        <x:v>0</x:v>
      </x:c>
      <x:c r="Q16" t="n">
        <x:f>COUNTIFS('Execuções'!$B$9:$B$158,$A16,'Execuções'!$D$9:$D$158,$B16,'Execuções'!$C$9:$C$158,Q$4,'Execuções'!$K$9:$K$158,"&gt;=0")</x:f>
        <x:v>0</x:v>
      </x:c>
      <x:c r="R16" t="n">
        <x:f>COUNTIFS('Execuções'!$B$9:$B$158,$A16,'Execuções'!$D$9:$D$158,$B16,'Execuções'!$C$9:$C$158,R$4,'Execuções'!$K$9:$K$158,"&gt;=0")</x:f>
        <x:v>0</x:v>
      </x:c>
      <x:c r="S16" t="n">
        <x:f>COUNTIFS('Execuções'!$B$9:$B$158,$A16,'Execuções'!$D$9:$D$158,$B16,'Execuções'!$C$9:$C$158,S$4,'Execuções'!$K$9:$K$158,"&gt;=0")</x:f>
        <x:v>0</x:v>
      </x:c>
      <x:c r="T16" t="n">
        <x:f>COUNTIFS('Execuções'!$B$9:$B$158,$A16,'Execuções'!$D$9:$D$158,$B16,'Execuções'!$C$9:$C$158,T$4,'Execuções'!$K$9:$K$158,"&gt;=0")</x:f>
        <x:v>0</x:v>
      </x:c>
    </x:row>
    <x:row r="17" ht="25" customHeight="1">
      <x:c r="A17" s="44" t="str">
        <x:v>M3 — GPT-5.6 Luna</x:v>
      </x:c>
      <x:c r="B17" s="53" t="n">
        <x:v>3</x:v>
      </x:c>
      <x:c r="C17" s="54" t="str">
        <x:f>IF(COUNTIFS('Execuções'!$B$9:$B$158,$A17,'Execuções'!$D$9:$D$158,$B17)=0,"",COUNTIF(K17:T17,1))</x:f>
      </x:c>
      <x:c r="D17" s="54" t="str">
        <x:f>IF(OR($C17&lt;&gt;10,COUNTIFS('Execuções'!$B$9:$B$158,$A17,'Execuções'!$D$9:$D$158,$B17)&lt;&gt;10),"",SUMIFS('Execuções'!$F$9:$F$158,'Execuções'!$B$9:$B$158,$A17,'Execuções'!$D$9:$D$158,$B17))</x:f>
      </x:c>
      <x:c r="E17" s="54" t="str">
        <x:f>IF(OR($C17&lt;&gt;10,COUNTIFS('Execuções'!$B$9:$B$158,$A17,'Execuções'!$D$9:$D$158,$B17)&lt;&gt;10),"",SUMIFS('Execuções'!$G$9:$G$158,'Execuções'!$B$9:$B$158,$A17,'Execuções'!$D$9:$D$158,$B17))</x:f>
      </x:c>
      <x:c r="F17" s="54" t="str">
        <x:f>IF(OR($C17&lt;&gt;10,COUNTIFS('Execuções'!$B$9:$B$158,$A17,'Execuções'!$D$9:$D$158,$B17)&lt;&gt;10),"",SUMIFS('Execuções'!$H$9:$H$158,'Execuções'!$B$9:$B$158,$A17,'Execuções'!$D$9:$D$158,$B17))</x:f>
      </x:c>
      <x:c r="G17" s="55" t="str">
        <x:f>IF(COUNT(D17:F17)&lt;&gt;3,"",IF(D17+E17=0,"Indefinida",D17/(D17+E17)))</x:f>
      </x:c>
      <x:c r="H17" s="55" t="str">
        <x:f>IF(COUNT(D17:F17)&lt;&gt;3,"",D17/(D17+F17))</x:f>
      </x:c>
      <x:c r="I17" s="55" t="str">
        <x:f>IF(COUNT(D17:F17)&lt;&gt;3,"",2*D17/(2*D17+E17+F17))</x:f>
      </x:c>
      <x:c r="K17" t="n">
        <x:f>COUNTIFS('Execuções'!$B$9:$B$158,$A17,'Execuções'!$D$9:$D$158,$B17,'Execuções'!$C$9:$C$158,K$4,'Execuções'!$K$9:$K$158,"&gt;=0")</x:f>
        <x:v>0</x:v>
      </x:c>
      <x:c r="L17" t="n">
        <x:f>COUNTIFS('Execuções'!$B$9:$B$158,$A17,'Execuções'!$D$9:$D$158,$B17,'Execuções'!$C$9:$C$158,L$4,'Execuções'!$K$9:$K$158,"&gt;=0")</x:f>
        <x:v>0</x:v>
      </x:c>
      <x:c r="M17" t="n">
        <x:f>COUNTIFS('Execuções'!$B$9:$B$158,$A17,'Execuções'!$D$9:$D$158,$B17,'Execuções'!$C$9:$C$158,M$4,'Execuções'!$K$9:$K$158,"&gt;=0")</x:f>
        <x:v>0</x:v>
      </x:c>
      <x:c r="N17" t="n">
        <x:f>COUNTIFS('Execuções'!$B$9:$B$158,$A17,'Execuções'!$D$9:$D$158,$B17,'Execuções'!$C$9:$C$158,N$4,'Execuções'!$K$9:$K$158,"&gt;=0")</x:f>
        <x:v>0</x:v>
      </x:c>
      <x:c r="O17" t="n">
        <x:f>COUNTIFS('Execuções'!$B$9:$B$158,$A17,'Execuções'!$D$9:$D$158,$B17,'Execuções'!$C$9:$C$158,O$4,'Execuções'!$K$9:$K$158,"&gt;=0")</x:f>
        <x:v>0</x:v>
      </x:c>
      <x:c r="P17" t="n">
        <x:f>COUNTIFS('Execuções'!$B$9:$B$158,$A17,'Execuções'!$D$9:$D$158,$B17,'Execuções'!$C$9:$C$158,P$4,'Execuções'!$K$9:$K$158,"&gt;=0")</x:f>
        <x:v>0</x:v>
      </x:c>
      <x:c r="Q17" t="n">
        <x:f>COUNTIFS('Execuções'!$B$9:$B$158,$A17,'Execuções'!$D$9:$D$158,$B17,'Execuções'!$C$9:$C$158,Q$4,'Execuções'!$K$9:$K$158,"&gt;=0")</x:f>
        <x:v>0</x:v>
      </x:c>
      <x:c r="R17" t="n">
        <x:f>COUNTIFS('Execuções'!$B$9:$B$158,$A17,'Execuções'!$D$9:$D$158,$B17,'Execuções'!$C$9:$C$158,R$4,'Execuções'!$K$9:$K$158,"&gt;=0")</x:f>
        <x:v>0</x:v>
      </x:c>
      <x:c r="S17" t="n">
        <x:f>COUNTIFS('Execuções'!$B$9:$B$158,$A17,'Execuções'!$D$9:$D$158,$B17,'Execuções'!$C$9:$C$158,S$4,'Execuções'!$K$9:$K$158,"&gt;=0")</x:f>
        <x:v>0</x:v>
      </x:c>
      <x:c r="T17" t="n">
        <x:f>COUNTIFS('Execuções'!$B$9:$B$158,$A17,'Execuções'!$D$9:$D$158,$B17,'Execuções'!$C$9:$C$158,T$4,'Execuções'!$K$9:$K$158,"&gt;=0")</x:f>
        <x:v>0</x:v>
      </x:c>
    </x:row>
    <x:row r="18" ht="25" customHeight="1">
      <x:c r="A18" s="44" t="str">
        <x:v>M3 — GPT-5.6 Luna</x:v>
      </x:c>
      <x:c r="B18" s="53" t="n">
        <x:v>4</x:v>
      </x:c>
      <x:c r="C18" s="54" t="str">
        <x:f>IF(COUNTIFS('Execuções'!$B$9:$B$158,$A18,'Execuções'!$D$9:$D$158,$B18)=0,"",COUNTIF(K18:T18,1))</x:f>
      </x:c>
      <x:c r="D18" s="54" t="str">
        <x:f>IF(OR($C18&lt;&gt;10,COUNTIFS('Execuções'!$B$9:$B$158,$A18,'Execuções'!$D$9:$D$158,$B18)&lt;&gt;10),"",SUMIFS('Execuções'!$F$9:$F$158,'Execuções'!$B$9:$B$158,$A18,'Execuções'!$D$9:$D$158,$B18))</x:f>
      </x:c>
      <x:c r="E18" s="54" t="str">
        <x:f>IF(OR($C18&lt;&gt;10,COUNTIFS('Execuções'!$B$9:$B$158,$A18,'Execuções'!$D$9:$D$158,$B18)&lt;&gt;10),"",SUMIFS('Execuções'!$G$9:$G$158,'Execuções'!$B$9:$B$158,$A18,'Execuções'!$D$9:$D$158,$B18))</x:f>
      </x:c>
      <x:c r="F18" s="54" t="str">
        <x:f>IF(OR($C18&lt;&gt;10,COUNTIFS('Execuções'!$B$9:$B$158,$A18,'Execuções'!$D$9:$D$158,$B18)&lt;&gt;10),"",SUMIFS('Execuções'!$H$9:$H$158,'Execuções'!$B$9:$B$158,$A18,'Execuções'!$D$9:$D$158,$B18))</x:f>
      </x:c>
      <x:c r="G18" s="55" t="str">
        <x:f>IF(COUNT(D18:F18)&lt;&gt;3,"",IF(D18+E18=0,"Indefinida",D18/(D18+E18)))</x:f>
      </x:c>
      <x:c r="H18" s="55" t="str">
        <x:f>IF(COUNT(D18:F18)&lt;&gt;3,"",D18/(D18+F18))</x:f>
      </x:c>
      <x:c r="I18" s="55" t="str">
        <x:f>IF(COUNT(D18:F18)&lt;&gt;3,"",2*D18/(2*D18+E18+F18))</x:f>
      </x:c>
      <x:c r="K18" t="n">
        <x:f>COUNTIFS('Execuções'!$B$9:$B$158,$A18,'Execuções'!$D$9:$D$158,$B18,'Execuções'!$C$9:$C$158,K$4,'Execuções'!$K$9:$K$158,"&gt;=0")</x:f>
        <x:v>0</x:v>
      </x:c>
      <x:c r="L18" t="n">
        <x:f>COUNTIFS('Execuções'!$B$9:$B$158,$A18,'Execuções'!$D$9:$D$158,$B18,'Execuções'!$C$9:$C$158,L$4,'Execuções'!$K$9:$K$158,"&gt;=0")</x:f>
        <x:v>0</x:v>
      </x:c>
      <x:c r="M18" t="n">
        <x:f>COUNTIFS('Execuções'!$B$9:$B$158,$A18,'Execuções'!$D$9:$D$158,$B18,'Execuções'!$C$9:$C$158,M$4,'Execuções'!$K$9:$K$158,"&gt;=0")</x:f>
        <x:v>0</x:v>
      </x:c>
      <x:c r="N18" t="n">
        <x:f>COUNTIFS('Execuções'!$B$9:$B$158,$A18,'Execuções'!$D$9:$D$158,$B18,'Execuções'!$C$9:$C$158,N$4,'Execuções'!$K$9:$K$158,"&gt;=0")</x:f>
        <x:v>0</x:v>
      </x:c>
      <x:c r="O18" t="n">
        <x:f>COUNTIFS('Execuções'!$B$9:$B$158,$A18,'Execuções'!$D$9:$D$158,$B18,'Execuções'!$C$9:$C$158,O$4,'Execuções'!$K$9:$K$158,"&gt;=0")</x:f>
        <x:v>0</x:v>
      </x:c>
      <x:c r="P18" t="n">
        <x:f>COUNTIFS('Execuções'!$B$9:$B$158,$A18,'Execuções'!$D$9:$D$158,$B18,'Execuções'!$C$9:$C$158,P$4,'Execuções'!$K$9:$K$158,"&gt;=0")</x:f>
        <x:v>0</x:v>
      </x:c>
      <x:c r="Q18" t="n">
        <x:f>COUNTIFS('Execuções'!$B$9:$B$158,$A18,'Execuções'!$D$9:$D$158,$B18,'Execuções'!$C$9:$C$158,Q$4,'Execuções'!$K$9:$K$158,"&gt;=0")</x:f>
        <x:v>0</x:v>
      </x:c>
      <x:c r="R18" t="n">
        <x:f>COUNTIFS('Execuções'!$B$9:$B$158,$A18,'Execuções'!$D$9:$D$158,$B18,'Execuções'!$C$9:$C$158,R$4,'Execuções'!$K$9:$K$158,"&gt;=0")</x:f>
        <x:v>0</x:v>
      </x:c>
      <x:c r="S18" t="n">
        <x:f>COUNTIFS('Execuções'!$B$9:$B$158,$A18,'Execuções'!$D$9:$D$158,$B18,'Execuções'!$C$9:$C$158,S$4,'Execuções'!$K$9:$K$158,"&gt;=0")</x:f>
        <x:v>0</x:v>
      </x:c>
      <x:c r="T18" t="n">
        <x:f>COUNTIFS('Execuções'!$B$9:$B$158,$A18,'Execuções'!$D$9:$D$158,$B18,'Execuções'!$C$9:$C$158,T$4,'Execuções'!$K$9:$K$158,"&gt;=0")</x:f>
        <x:v>0</x:v>
      </x:c>
    </x:row>
    <x:row r="19" ht="25" customHeight="1">
      <x:c r="A19" s="44" t="str">
        <x:v>M3 — GPT-5.6 Luna</x:v>
      </x:c>
      <x:c r="B19" s="53" t="n">
        <x:v>5</x:v>
      </x:c>
      <x:c r="C19" s="54" t="str">
        <x:f>IF(COUNTIFS('Execuções'!$B$9:$B$158,$A19,'Execuções'!$D$9:$D$158,$B19)=0,"",COUNTIF(K19:T19,1))</x:f>
      </x:c>
      <x:c r="D19" s="54" t="str">
        <x:f>IF(OR($C19&lt;&gt;10,COUNTIFS('Execuções'!$B$9:$B$158,$A19,'Execuções'!$D$9:$D$158,$B19)&lt;&gt;10),"",SUMIFS('Execuções'!$F$9:$F$158,'Execuções'!$B$9:$B$158,$A19,'Execuções'!$D$9:$D$158,$B19))</x:f>
      </x:c>
      <x:c r="E19" s="54" t="str">
        <x:f>IF(OR($C19&lt;&gt;10,COUNTIFS('Execuções'!$B$9:$B$158,$A19,'Execuções'!$D$9:$D$158,$B19)&lt;&gt;10),"",SUMIFS('Execuções'!$G$9:$G$158,'Execuções'!$B$9:$B$158,$A19,'Execuções'!$D$9:$D$158,$B19))</x:f>
      </x:c>
      <x:c r="F19" s="54" t="str">
        <x:f>IF(OR($C19&lt;&gt;10,COUNTIFS('Execuções'!$B$9:$B$158,$A19,'Execuções'!$D$9:$D$158,$B19)&lt;&gt;10),"",SUMIFS('Execuções'!$H$9:$H$158,'Execuções'!$B$9:$B$158,$A19,'Execuções'!$D$9:$D$158,$B19))</x:f>
      </x:c>
      <x:c r="G19" s="55" t="str">
        <x:f>IF(COUNT(D19:F19)&lt;&gt;3,"",IF(D19+E19=0,"Indefinida",D19/(D19+E19)))</x:f>
      </x:c>
      <x:c r="H19" s="55" t="str">
        <x:f>IF(COUNT(D19:F19)&lt;&gt;3,"",D19/(D19+F19))</x:f>
      </x:c>
      <x:c r="I19" s="55" t="str">
        <x:f>IF(COUNT(D19:F19)&lt;&gt;3,"",2*D19/(2*D19+E19+F19))</x:f>
      </x:c>
      <x:c r="K19" t="n">
        <x:f>COUNTIFS('Execuções'!$B$9:$B$158,$A19,'Execuções'!$D$9:$D$158,$B19,'Execuções'!$C$9:$C$158,K$4,'Execuções'!$K$9:$K$158,"&gt;=0")</x:f>
        <x:v>0</x:v>
      </x:c>
      <x:c r="L19" t="n">
        <x:f>COUNTIFS('Execuções'!$B$9:$B$158,$A19,'Execuções'!$D$9:$D$158,$B19,'Execuções'!$C$9:$C$158,L$4,'Execuções'!$K$9:$K$158,"&gt;=0")</x:f>
        <x:v>0</x:v>
      </x:c>
      <x:c r="M19" t="n">
        <x:f>COUNTIFS('Execuções'!$B$9:$B$158,$A19,'Execuções'!$D$9:$D$158,$B19,'Execuções'!$C$9:$C$158,M$4,'Execuções'!$K$9:$K$158,"&gt;=0")</x:f>
        <x:v>0</x:v>
      </x:c>
      <x:c r="N19" t="n">
        <x:f>COUNTIFS('Execuções'!$B$9:$B$158,$A19,'Execuções'!$D$9:$D$158,$B19,'Execuções'!$C$9:$C$158,N$4,'Execuções'!$K$9:$K$158,"&gt;=0")</x:f>
        <x:v>0</x:v>
      </x:c>
      <x:c r="O19" t="n">
        <x:f>COUNTIFS('Execuções'!$B$9:$B$158,$A19,'Execuções'!$D$9:$D$158,$B19,'Execuções'!$C$9:$C$158,O$4,'Execuções'!$K$9:$K$158,"&gt;=0")</x:f>
        <x:v>0</x:v>
      </x:c>
      <x:c r="P19" t="n">
        <x:f>COUNTIFS('Execuções'!$B$9:$B$158,$A19,'Execuções'!$D$9:$D$158,$B19,'Execuções'!$C$9:$C$158,P$4,'Execuções'!$K$9:$K$158,"&gt;=0")</x:f>
        <x:v>0</x:v>
      </x:c>
      <x:c r="Q19" t="n">
        <x:f>COUNTIFS('Execuções'!$B$9:$B$158,$A19,'Execuções'!$D$9:$D$158,$B19,'Execuções'!$C$9:$C$158,Q$4,'Execuções'!$K$9:$K$158,"&gt;=0")</x:f>
        <x:v>0</x:v>
      </x:c>
      <x:c r="R19" t="n">
        <x:f>COUNTIFS('Execuções'!$B$9:$B$158,$A19,'Execuções'!$D$9:$D$158,$B19,'Execuções'!$C$9:$C$158,R$4,'Execuções'!$K$9:$K$158,"&gt;=0")</x:f>
        <x:v>0</x:v>
      </x:c>
      <x:c r="S19" t="n">
        <x:f>COUNTIFS('Execuções'!$B$9:$B$158,$A19,'Execuções'!$D$9:$D$158,$B19,'Execuções'!$C$9:$C$158,S$4,'Execuções'!$K$9:$K$158,"&gt;=0")</x:f>
        <x:v>0</x:v>
      </x:c>
      <x:c r="T19" t="n">
        <x:f>COUNTIFS('Execuções'!$B$9:$B$158,$A19,'Execuções'!$D$9:$D$158,$B19,'Execuções'!$C$9:$C$158,T$4,'Execuções'!$K$9:$K$158,"&gt;=0")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6" hidden="0" customWidth="1"/>
    <x:col min="4" max="4" width="16" hidden="0" customWidth="1"/>
    <x:col min="5" max="5" width="14" hidden="0" customWidth="1"/>
    <x:col min="6" max="6" width="20" hidden="0" customWidth="1"/>
    <x:col min="8" max="12" width="14" hidden="1" customWidth="1"/>
  </x:cols>
  <x:sheetData>
    <x:row r="1" ht="30" customHeight="1">
      <x:c r="A1" s="45" t="str">
        <x:v>Comparação dos modelos</x:v>
      </x:c>
      <x:c r="B1" s="44"/>
      <x:c r="C1" s="44"/>
      <x:c r="D1" s="44"/>
      <x:c r="E1" s="44"/>
      <x:c r="F1" s="44"/>
    </x:row>
    <x:row r="2" ht="25" customHeight="1">
      <x:c r="A2" s="46" t="str">
        <x:v>Médias das rodadas completas. Precisão indefinida será excluída da média; desvio padrão exige duas rodadas.</x:v>
      </x:c>
      <x:c r="B2" s="44"/>
      <x:c r="C2" s="44"/>
      <x:c r="D2" s="44"/>
      <x:c r="E2" s="44"/>
      <x:c r="F2" s="44"/>
    </x:row>
    <x:row r="3" ht="25" customHeight="1">
      <x:c r="A3" s="44"/>
      <x:c r="B3" s="44"/>
      <x:c r="C3" s="44"/>
      <x:c r="D3" s="44"/>
      <x:c r="E3" s="44"/>
      <x:c r="F3" s="44"/>
    </x:row>
    <x:row r="4" ht="44" customHeight="1">
      <x:c r="A4" s="50" t="str">
        <x:v>Modelo</x:v>
      </x:c>
      <x:c r="B4" s="50" t="str">
        <x:v>Rodadas completas</x:v>
      </x:c>
      <x:c r="C4" s="50" t="str">
        <x:v>Precisão média</x:v>
      </x:c>
      <x:c r="D4" s="50" t="str">
        <x:v>Revocação média</x:v>
      </x:c>
      <x:c r="E4" s="50" t="str">
        <x:v>F1 médio</x:v>
      </x:c>
      <x:c r="F4" s="50" t="str">
        <x:v>Desvio padrão de F1</x:v>
      </x:c>
    </x:row>
    <x:row r="5" ht="30" customHeight="1">
      <x:c r="A5" s="44" t="str">
        <x:v>M1 — gemma-4-E4B-it-GGUF</x:v>
      </x:c>
      <x:c r="B5" s="54" t="n">
        <x:f>COUNT('Resumo por repetição'!I5:I9)</x:f>
        <x:v>0</x:v>
      </x:c>
      <x:c r="C5" s="55" t="str">
        <x:f>IF(B5=0,"",IF(COUNT('Resumo por repetição'!G5:G9)=0,"Indefinida",AVERAGE('Resumo por repetição'!G5:G9)))</x:f>
      </x:c>
      <x:c r="D5" s="55" t="str">
        <x:f>IF(B5=0,"",AVERAGE('Resumo por repetição'!H5:H9))</x:f>
      </x:c>
      <x:c r="E5" s="55" t="str">
        <x:f>IF(B5=0,"",AVERAGE('Resumo por repetição'!I5:I9))</x:f>
      </x:c>
      <x:c r="F5" s="55" t="str">
        <x:f>IF(B5&lt;2,"",STDEV('Resumo por repetição'!I5:I9))</x:f>
      </x:c>
    </x:row>
    <x:row r="6" ht="30" customHeight="1">
      <x:c r="A6" s="44" t="str">
        <x:v>M2 — Qwen3.6-27B-GGUF</x:v>
      </x:c>
      <x:c r="B6" s="54" t="n">
        <x:f>COUNT('Resumo por repetição'!I10:I14)</x:f>
        <x:v>0</x:v>
      </x:c>
      <x:c r="C6" s="55" t="str">
        <x:f>IF(B6=0,"",IF(COUNT('Resumo por repetição'!G10:G14)=0,"Indefinida",AVERAGE('Resumo por repetição'!G10:G14)))</x:f>
      </x:c>
      <x:c r="D6" s="55" t="str">
        <x:f>IF(B6=0,"",AVERAGE('Resumo por repetição'!H10:H14))</x:f>
      </x:c>
      <x:c r="E6" s="55" t="str">
        <x:f>IF(B6=0,"",AVERAGE('Resumo por repetição'!I10:I14))</x:f>
      </x:c>
      <x:c r="F6" s="55" t="str">
        <x:f>IF(B6&lt;2,"",STDEV('Resumo por repetição'!I10:I14))</x:f>
      </x:c>
    </x:row>
    <x:row r="7" ht="30" customHeight="1">
      <x:c r="A7" s="44" t="str">
        <x:v>M3 — GPT-5.6 Luna</x:v>
      </x:c>
      <x:c r="B7" s="54" t="n">
        <x:f>COUNT('Resumo por repetição'!I15:I19)</x:f>
        <x:v>0</x:v>
      </x:c>
      <x:c r="C7" s="55" t="str">
        <x:f>IF(B7=0,"",IF(COUNT('Resumo por repetição'!G15:G19)=0,"Indefinida",AVERAGE('Resumo por repetição'!G15:G19)))</x:f>
      </x:c>
      <x:c r="D7" s="55" t="str">
        <x:f>IF(B7=0,"",AVERAGE('Resumo por repetição'!H15:H19))</x:f>
      </x:c>
      <x:c r="E7" s="55" t="str">
        <x:f>IF(B7=0,"",AVERAGE('Resumo por repetição'!I15:I19))</x:f>
      </x:c>
      <x:c r="F7" s="55" t="str">
        <x:f>IF(B7&lt;2,"",STDEV('Resumo por repetição'!I15:I19))</x:f>
      </x:c>
    </x:row>
    <x:row r="8">
      <x:c r="H8" t="str">
        <x:v>Execução avaliada e única (0/1)</x:v>
      </x:c>
      <x:c r="I8" t="str">
        <x:v>Primeiro problema</x:v>
      </x:c>
      <x:c r="J8" t="str">
        <x:v>Itens após o primeiro</x:v>
      </x:c>
      <x:c r="K8" t="str">
        <x:v>Segundo problema</x:v>
      </x:c>
      <x:c r="L8" t="str">
        <x:v>Terceiro problema</x:v>
      </x:c>
    </x:row>
    <x:row r="9">
      <x:c r="H9" t="n">
        <x:f>IF(AND('Execuções'!B9&lt;&gt;"",'Execuções'!C9&lt;&gt;"",ISNUMBER('Execuções'!K9),COUNTIF('Execuções'!$AC$3:$AC$7,'Execuções'!D9)=1,COUNTIFS('Execuções'!$B$9:$B$158,'Execuções'!B9,'Execuções'!$C$9:$C$158,'Execuções'!C9,'Execuções'!$D$9:$D$158,'Execuções'!D9)=1),1,0)</x:f>
        <x:v>0</x:v>
      </x:c>
      <x:c r="I9" t="str">
        <x:f>IF($H9=1,LEFT('Execuções'!E9,FIND(";",'Execuções'!E9&amp;";")-1),"")</x:f>
      </x:c>
      <x:c r="J9" t="str">
        <x:f>IF($H9=1,TRIM(MID('Execuções'!E9,LEN(I9)+2,LEN('Execuções'!E9))),"")</x:f>
      </x:c>
      <x:c r="K9" t="str">
        <x:f>LEFT(J9,FIND(";",J9&amp;";")-1)</x:f>
      </x:c>
      <x:c r="L9" t="str">
        <x:f>IF(LEN(J9)&gt;LEN(K9),TRIM(MID(J9,LEN(K9)+2,LEN(J9))),"")</x:f>
      </x:c>
    </x:row>
    <x:row r="10">
      <x:c r="H10" t="n">
        <x:f>IF(AND('Execuções'!B10&lt;&gt;"",'Execuções'!C10&lt;&gt;"",ISNUMBER('Execuções'!K10),COUNTIF('Execuções'!$AC$3:$AC$7,'Execuções'!D10)=1,COUNTIFS('Execuções'!$B$9:$B$158,'Execuções'!B10,'Execuções'!$C$9:$C$158,'Execuções'!C10,'Execuções'!$D$9:$D$158,'Execuções'!D10)=1),1,0)</x:f>
        <x:v>0</x:v>
      </x:c>
      <x:c r="I10" t="str">
        <x:f>IF($H10=1,LEFT('Execuções'!E10,FIND(";",'Execuções'!E10&amp;";")-1),"")</x:f>
      </x:c>
      <x:c r="J10" t="str">
        <x:f>IF($H10=1,TRIM(MID('Execuções'!E10,LEN(I10)+2,LEN('Execuções'!E10))),"")</x:f>
      </x:c>
      <x:c r="K10" t="str">
        <x:f>LEFT(J10,FIND(";",J10&amp;";")-1)</x:f>
      </x:c>
      <x:c r="L10" t="str">
        <x:f>IF(LEN(J10)&gt;LEN(K10),TRIM(MID(J10,LEN(K10)+2,LEN(J10))),"")</x:f>
      </x:c>
    </x:row>
    <x:row r="11" ht="30" customHeight="1">
      <x:c r="A11" s="86" t="str">
        <x:v>Frequência de detecção por problema</x:v>
      </x:c>
      <x:c r="B11" s="87"/>
      <x:c r="C11" s="87"/>
      <x:c r="D11" s="87"/>
      <x:c r="E11" s="87"/>
      <x:c r="F11" s="87"/>
      <x:c r="H11" t="n">
        <x:f>IF(AND('Execuções'!B11&lt;&gt;"",'Execuções'!C11&lt;&gt;"",ISNUMBER('Execuções'!K11),COUNTIF('Execuções'!$AC$3:$AC$7,'Execuções'!D11)=1,COUNTIFS('Execuções'!$B$9:$B$158,'Execuções'!B11,'Execuções'!$C$9:$C$158,'Execuções'!C11,'Execuções'!$D$9:$D$158,'Execuções'!D11)=1),1,0)</x:f>
        <x:v>0</x:v>
      </x:c>
      <x:c r="I11" t="str">
        <x:f>IF($H11=1,LEFT('Execuções'!E11,FIND(";",'Execuções'!E11&amp;";")-1),"")</x:f>
      </x:c>
      <x:c r="J11" t="str">
        <x:f>IF($H11=1,TRIM(MID('Execuções'!E11,LEN(I11)+2,LEN('Execuções'!E11))),"")</x:f>
      </x:c>
      <x:c r="K11" t="str">
        <x:f>LEFT(J11,FIND(";",J11&amp;";")-1)</x:f>
      </x:c>
      <x:c r="L11" t="str">
        <x:f>IF(LEN(J11)&gt;LEN(K11),TRIM(MID(J11,LEN(K11)+2,LEN(J11))),"")</x:f>
      </x:c>
    </x:row>
    <x:row r="12" ht="22" customHeight="1">
      <x:c r="A12" s="88" t="str">
        <x:v>Uma linha por problema e modelo. Serão consideradas somente execuções avaliadas, sem duplicação.</x:v>
      </x:c>
      <x:c r="B12" s="88"/>
      <x:c r="C12" s="88"/>
      <x:c r="D12" s="88"/>
      <x:c r="E12" s="88"/>
      <x:c r="F12" s="88"/>
      <x:c r="H12" t="n">
        <x:f>IF(AND('Execuções'!B12&lt;&gt;"",'Execuções'!C12&lt;&gt;"",ISNUMBER('Execuções'!K12),COUNTIF('Execuções'!$AC$3:$AC$7,'Execuções'!D12)=1,COUNTIFS('Execuções'!$B$9:$B$158,'Execuções'!B12,'Execuções'!$C$9:$C$158,'Execuções'!C12,'Execuções'!$D$9:$D$158,'Execuções'!D12)=1),1,0)</x:f>
        <x:v>0</x:v>
      </x:c>
      <x:c r="I12" t="str">
        <x:f>IF($H12=1,LEFT('Execuções'!E12,FIND(";",'Execuções'!E12&amp;";")-1),"")</x:f>
      </x:c>
      <x:c r="J12" t="str">
        <x:f>IF($H12=1,TRIM(MID('Execuções'!E12,LEN(I12)+2,LEN('Execuções'!E12))),"")</x:f>
      </x:c>
      <x:c r="K12" t="str">
        <x:f>LEFT(J12,FIND(";",J12&amp;";")-1)</x:f>
      </x:c>
      <x:c r="L12" t="str">
        <x:f>IF(LEN(J12)&gt;LEN(K12),TRIM(MID(J12,LEN(K12)+2,LEN(J12))),"")</x:f>
      </x:c>
    </x:row>
    <x:row r="13" ht="22" customHeight="1">
      <x:c r="A13" s="88" t="str">
        <x:v>Sem avaliações: frequência em branco. Zero após avaliação significa omissão do problema.</x:v>
      </x:c>
      <x:c r="B13" s="88"/>
      <x:c r="C13" s="88"/>
      <x:c r="D13" s="88"/>
      <x:c r="E13" s="88"/>
      <x:c r="F13" s="88"/>
      <x:c r="H13" t="n">
        <x:f>IF(AND('Execuções'!B13&lt;&gt;"",'Execuções'!C13&lt;&gt;"",ISNUMBER('Execuções'!K13),COUNTIF('Execuções'!$AC$3:$AC$7,'Execuções'!D13)=1,COUNTIFS('Execuções'!$B$9:$B$158,'Execuções'!B13,'Execuções'!$C$9:$C$158,'Execuções'!C13,'Execuções'!$D$9:$D$158,'Execuções'!D13)=1),1,0)</x:f>
        <x:v>0</x:v>
      </x:c>
      <x:c r="I13" t="str">
        <x:f>IF($H13=1,LEFT('Execuções'!E13,FIND(";",'Execuções'!E13&amp;";")-1),"")</x:f>
      </x:c>
      <x:c r="J13" t="str">
        <x:f>IF($H13=1,TRIM(MID('Execuções'!E13,LEN(I13)+2,LEN('Execuções'!E13))),"")</x:f>
      </x:c>
      <x:c r="K13" t="str">
        <x:f>LEFT(J13,FIND(";",J13&amp;";")-1)</x:f>
      </x:c>
      <x:c r="L13" t="str">
        <x:f>IF(LEN(J13)&gt;LEN(K13),TRIM(MID(J13,LEN(K13)+2,LEN(J13))),"")</x:f>
      </x:c>
    </x:row>
    <x:row r="14" ht="22" customHeight="1">
      <x:c r="A14" s="87"/>
      <x:c r="B14" s="87"/>
      <x:c r="C14" s="87"/>
      <x:c r="D14" s="87"/>
      <x:c r="E14" s="87"/>
      <x:c r="F14" s="87"/>
      <x:c r="H14" t="n">
        <x:f>IF(AND('Execuções'!B14&lt;&gt;"",'Execuções'!C14&lt;&gt;"",ISNUMBER('Execuções'!K14),COUNTIF('Execuções'!$AC$3:$AC$7,'Execuções'!D14)=1,COUNTIFS('Execuções'!$B$9:$B$158,'Execuções'!B14,'Execuções'!$C$9:$C$158,'Execuções'!C14,'Execuções'!$D$9:$D$158,'Execuções'!D14)=1),1,0)</x:f>
        <x:v>0</x:v>
      </x:c>
      <x:c r="I14" t="str">
        <x:f>IF($H14=1,LEFT('Execuções'!E14,FIND(";",'Execuções'!E14&amp;";")-1),"")</x:f>
      </x:c>
      <x:c r="J14" t="str">
        <x:f>IF($H14=1,TRIM(MID('Execuções'!E14,LEN(I14)+2,LEN('Execuções'!E14))),"")</x:f>
      </x:c>
      <x:c r="K14" t="str">
        <x:f>LEFT(J14,FIND(";",J14&amp;";")-1)</x:f>
      </x:c>
      <x:c r="L14" t="str">
        <x:f>IF(LEN(J14)&gt;LEN(K14),TRIM(MID(J14,LEN(K14)+2,LEN(J14))),"")</x:f>
      </x:c>
    </x:row>
    <x:row r="15" ht="44" customHeight="1">
      <x:c r="A15" s="97" t="str">
        <x:v>Modelo</x:v>
      </x:c>
      <x:c r="B15" s="97" t="str">
        <x:v>Problema</x:v>
      </x:c>
      <x:c r="C15" s="97" t="str">
        <x:v>Tipo</x:v>
      </x:c>
      <x:c r="D15" s="97" t="str">
        <x:v>Detecções</x:v>
      </x:c>
      <x:c r="E15" s="97" t="str">
        <x:v>Execuções avaliadas</x:v>
      </x:c>
      <x:c r="F15" s="97" t="str">
        <x:v>Frequência</x:v>
      </x:c>
      <x:c r="H15" t="n">
        <x:f>IF(AND('Execuções'!B15&lt;&gt;"",'Execuções'!C15&lt;&gt;"",ISNUMBER('Execuções'!K15),COUNTIF('Execuções'!$AC$3:$AC$7,'Execuções'!D15)=1,COUNTIFS('Execuções'!$B$9:$B$158,'Execuções'!B15,'Execuções'!$C$9:$C$158,'Execuções'!C15,'Execuções'!$D$9:$D$158,'Execuções'!D15)=1),1,0)</x:f>
        <x:v>0</x:v>
      </x:c>
      <x:c r="I15" t="str">
        <x:f>IF($H15=1,LEFT('Execuções'!E15,FIND(";",'Execuções'!E15&amp;";")-1),"")</x:f>
      </x:c>
      <x:c r="J15" t="str">
        <x:f>IF($H15=1,TRIM(MID('Execuções'!E15,LEN(I15)+2,LEN('Execuções'!E15))),"")</x:f>
      </x:c>
      <x:c r="K15" t="str">
        <x:f>LEFT(J15,FIND(";",J15&amp;";")-1)</x:f>
      </x:c>
      <x:c r="L15" t="str">
        <x:f>IF(LEN(J15)&gt;LEN(K15),TRIM(MID(J15,LEN(K15)+2,LEN(J15))),"")</x:f>
      </x:c>
    </x:row>
    <x:row r="16" ht="44" customHeight="1">
      <x:c r="A16" s="90" t="str">
        <x:v>M1 — gemma-4-E4B-it-GGUF</x:v>
      </x:c>
      <x:c r="B16" s="90" t="str">
        <x:v>C1-A-01</x:v>
      </x:c>
      <x:c r="C16" s="91" t="str">
        <x:v>Responsabilidades e coesão</x:v>
      </x:c>
      <x:c r="D16" s="98" t="n">
        <x:f>SUM(COUNTIFS('Execuções'!$B$9:$B$158,$A16,'Execuções'!$C$9:$C$158,LEFT($B16,4),$I$9:$I$158,$B16),COUNTIFS('Execuções'!$B$9:$B$158,$A16,'Execuções'!$C$9:$C$158,LEFT($B16,4),$K$9:$K$158,$B16),COUNTIFS('Execuções'!$B$9:$B$158,$A16,'Execuções'!$C$9:$C$158,LEFT($B16,4),$L$9:$L$158,$B16))</x:f>
        <x:v>0</x:v>
      </x:c>
      <x:c r="E16" s="98" t="n">
        <x:f>SUMIFS($H$9:$H$158,'Execuções'!$B$9:$B$158,$A16,'Execuções'!$C$9:$C$158,LEFT($B16,4))</x:f>
        <x:v>0</x:v>
      </x:c>
      <x:c r="F16" s="99" t="str">
        <x:f>IF(E16=0,"",D16/E16)</x:f>
      </x:c>
      <x:c r="H16" t="n">
        <x:f>IF(AND('Execuções'!B16&lt;&gt;"",'Execuções'!C16&lt;&gt;"",ISNUMBER('Execuções'!K16),COUNTIF('Execuções'!$AC$3:$AC$7,'Execuções'!D16)=1,COUNTIFS('Execuções'!$B$9:$B$158,'Execuções'!B16,'Execuções'!$C$9:$C$158,'Execuções'!C16,'Execuções'!$D$9:$D$158,'Execuções'!D16)=1),1,0)</x:f>
        <x:v>0</x:v>
      </x:c>
      <x:c r="I16" t="str">
        <x:f>IF($H16=1,LEFT('Execuções'!E16,FIND(";",'Execuções'!E16&amp;";")-1),"")</x:f>
      </x:c>
      <x:c r="J16" t="str">
        <x:f>IF($H16=1,TRIM(MID('Execuções'!E16,LEN(I16)+2,LEN('Execuções'!E16))),"")</x:f>
      </x:c>
      <x:c r="K16" t="str">
        <x:f>LEFT(J16,FIND(";",J16&amp;";")-1)</x:f>
      </x:c>
      <x:c r="L16" t="str">
        <x:f>IF(LEN(J16)&gt;LEN(K16),TRIM(MID(J16,LEN(K16)+2,LEN(J16))),"")</x:f>
      </x:c>
    </x:row>
    <x:row r="17" ht="44" customHeight="1">
      <x:c r="A17" s="90" t="str">
        <x:v>M2 — Qwen3.6-27B-GGUF</x:v>
      </x:c>
      <x:c r="B17" s="90" t="str">
        <x:v>C1-A-01</x:v>
      </x:c>
      <x:c r="C17" s="91" t="str">
        <x:v>Responsabilidades e coesão</x:v>
      </x:c>
      <x:c r="D17" s="98" t="n">
        <x:f>SUM(COUNTIFS('Execuções'!$B$9:$B$158,$A17,'Execuções'!$C$9:$C$158,LEFT($B17,4),$I$9:$I$158,$B17),COUNTIFS('Execuções'!$B$9:$B$158,$A17,'Execuções'!$C$9:$C$158,LEFT($B17,4),$K$9:$K$158,$B17),COUNTIFS('Execuções'!$B$9:$B$158,$A17,'Execuções'!$C$9:$C$158,LEFT($B17,4),$L$9:$L$158,$B17))</x:f>
        <x:v>0</x:v>
      </x:c>
      <x:c r="E17" s="98" t="n">
        <x:f>SUMIFS($H$9:$H$158,'Execuções'!$B$9:$B$158,$A17,'Execuções'!$C$9:$C$158,LEFT($B17,4))</x:f>
        <x:v>0</x:v>
      </x:c>
      <x:c r="F17" s="99" t="str">
        <x:f>IF(E17=0,"",D17/E17)</x:f>
      </x:c>
      <x:c r="H17" t="n">
        <x:f>IF(AND('Execuções'!B17&lt;&gt;"",'Execuções'!C17&lt;&gt;"",ISNUMBER('Execuções'!K17),COUNTIF('Execuções'!$AC$3:$AC$7,'Execuções'!D17)=1,COUNTIFS('Execuções'!$B$9:$B$158,'Execuções'!B17,'Execuções'!$C$9:$C$158,'Execuções'!C17,'Execuções'!$D$9:$D$158,'Execuções'!D17)=1),1,0)</x:f>
        <x:v>0</x:v>
      </x:c>
      <x:c r="I17" t="str">
        <x:f>IF($H17=1,LEFT('Execuções'!E17,FIND(";",'Execuções'!E17&amp;";")-1),"")</x:f>
      </x:c>
      <x:c r="J17" t="str">
        <x:f>IF($H17=1,TRIM(MID('Execuções'!E17,LEN(I17)+2,LEN('Execuções'!E17))),"")</x:f>
      </x:c>
      <x:c r="K17" t="str">
        <x:f>LEFT(J17,FIND(";",J17&amp;";")-1)</x:f>
      </x:c>
      <x:c r="L17" t="str">
        <x:f>IF(LEN(J17)&gt;LEN(K17),TRIM(MID(J17,LEN(K17)+2,LEN(J17))),"")</x:f>
      </x:c>
    </x:row>
    <x:row r="18" ht="44" customHeight="1">
      <x:c r="A18" s="90" t="str">
        <x:v>M3 — GPT-5.6 Luna</x:v>
      </x:c>
      <x:c r="B18" s="90" t="str">
        <x:v>C1-A-01</x:v>
      </x:c>
      <x:c r="C18" s="91" t="str">
        <x:v>Responsabilidades e coesão</x:v>
      </x:c>
      <x:c r="D18" s="98" t="n">
        <x:f>SUM(COUNTIFS('Execuções'!$B$9:$B$158,$A18,'Execuções'!$C$9:$C$158,LEFT($B18,4),$I$9:$I$158,$B18),COUNTIFS('Execuções'!$B$9:$B$158,$A18,'Execuções'!$C$9:$C$158,LEFT($B18,4),$K$9:$K$158,$B18),COUNTIFS('Execuções'!$B$9:$B$158,$A18,'Execuções'!$C$9:$C$158,LEFT($B18,4),$L$9:$L$158,$B18))</x:f>
        <x:v>0</x:v>
      </x:c>
      <x:c r="E18" s="98" t="n">
        <x:f>SUMIFS($H$9:$H$158,'Execuções'!$B$9:$B$158,$A18,'Execuções'!$C$9:$C$158,LEFT($B18,4))</x:f>
        <x:v>0</x:v>
      </x:c>
      <x:c r="F18" s="99" t="str">
        <x:f>IF(E18=0,"",D18/E18)</x:f>
      </x:c>
      <x:c r="H18" t="n">
        <x:f>IF(AND('Execuções'!B18&lt;&gt;"",'Execuções'!C18&lt;&gt;"",ISNUMBER('Execuções'!K18),COUNTIF('Execuções'!$AC$3:$AC$7,'Execuções'!D18)=1,COUNTIFS('Execuções'!$B$9:$B$158,'Execuções'!B18,'Execuções'!$C$9:$C$158,'Execuções'!C18,'Execuções'!$D$9:$D$158,'Execuções'!D18)=1),1,0)</x:f>
        <x:v>0</x:v>
      </x:c>
      <x:c r="I18" t="str">
        <x:f>IF($H18=1,LEFT('Execuções'!E18,FIND(";",'Execuções'!E18&amp;";")-1),"")</x:f>
      </x:c>
      <x:c r="J18" t="str">
        <x:f>IF($H18=1,TRIM(MID('Execuções'!E18,LEN(I18)+2,LEN('Execuções'!E18))),"")</x:f>
      </x:c>
      <x:c r="K18" t="str">
        <x:f>LEFT(J18,FIND(";",J18&amp;";")-1)</x:f>
      </x:c>
      <x:c r="L18" t="str">
        <x:f>IF(LEN(J18)&gt;LEN(K18),TRIM(MID(J18,LEN(K18)+2,LEN(J18))),"")</x:f>
      </x:c>
    </x:row>
    <x:row r="19" ht="44" customHeight="1">
      <x:c r="A19" s="90" t="str">
        <x:v>M1 — gemma-4-E4B-it-GGUF</x:v>
      </x:c>
      <x:c r="B19" s="90" t="str">
        <x:v>C1-A-02</x:v>
      </x:c>
      <x:c r="C19" s="91" t="str">
        <x:v>Responsabilidades e coesão</x:v>
      </x:c>
      <x:c r="D19" s="98" t="n">
        <x:f>SUM(COUNTIFS('Execuções'!$B$9:$B$158,$A19,'Execuções'!$C$9:$C$158,LEFT($B19,4),$I$9:$I$158,$B19),COUNTIFS('Execuções'!$B$9:$B$158,$A19,'Execuções'!$C$9:$C$158,LEFT($B19,4),$K$9:$K$158,$B19),COUNTIFS('Execuções'!$B$9:$B$158,$A19,'Execuções'!$C$9:$C$158,LEFT($B19,4),$L$9:$L$158,$B19))</x:f>
        <x:v>0</x:v>
      </x:c>
      <x:c r="E19" s="98" t="n">
        <x:f>SUMIFS($H$9:$H$158,'Execuções'!$B$9:$B$158,$A19,'Execuções'!$C$9:$C$158,LEFT($B19,4))</x:f>
        <x:v>0</x:v>
      </x:c>
      <x:c r="F19" s="99" t="str">
        <x:f>IF(E19=0,"",D19/E19)</x:f>
      </x:c>
      <x:c r="H19" t="n">
        <x:f>IF(AND('Execuções'!B19&lt;&gt;"",'Execuções'!C19&lt;&gt;"",ISNUMBER('Execuções'!K19),COUNTIF('Execuções'!$AC$3:$AC$7,'Execuções'!D19)=1,COUNTIFS('Execuções'!$B$9:$B$158,'Execuções'!B19,'Execuções'!$C$9:$C$158,'Execuções'!C19,'Execuções'!$D$9:$D$158,'Execuções'!D19)=1),1,0)</x:f>
        <x:v>0</x:v>
      </x:c>
      <x:c r="I19" t="str">
        <x:f>IF($H19=1,LEFT('Execuções'!E19,FIND(";",'Execuções'!E19&amp;";")-1),"")</x:f>
      </x:c>
      <x:c r="J19" t="str">
        <x:f>IF($H19=1,TRIM(MID('Execuções'!E19,LEN(I19)+2,LEN('Execuções'!E19))),"")</x:f>
      </x:c>
      <x:c r="K19" t="str">
        <x:f>LEFT(J19,FIND(";",J19&amp;";")-1)</x:f>
      </x:c>
      <x:c r="L19" t="str">
        <x:f>IF(LEN(J19)&gt;LEN(K19),TRIM(MID(J19,LEN(K19)+2,LEN(J19))),"")</x:f>
      </x:c>
    </x:row>
    <x:row r="20" ht="44" customHeight="1">
      <x:c r="A20" s="90" t="str">
        <x:v>M2 — Qwen3.6-27B-GGUF</x:v>
      </x:c>
      <x:c r="B20" s="90" t="str">
        <x:v>C1-A-02</x:v>
      </x:c>
      <x:c r="C20" s="91" t="str">
        <x:v>Responsabilidades e coesão</x:v>
      </x:c>
      <x:c r="D20" s="98" t="n">
        <x:f>SUM(COUNTIFS('Execuções'!$B$9:$B$158,$A20,'Execuções'!$C$9:$C$158,LEFT($B20,4),$I$9:$I$158,$B20),COUNTIFS('Execuções'!$B$9:$B$158,$A20,'Execuções'!$C$9:$C$158,LEFT($B20,4),$K$9:$K$158,$B20),COUNTIFS('Execuções'!$B$9:$B$158,$A20,'Execuções'!$C$9:$C$158,LEFT($B20,4),$L$9:$L$158,$B20))</x:f>
        <x:v>0</x:v>
      </x:c>
      <x:c r="E20" s="98" t="n">
        <x:f>SUMIFS($H$9:$H$158,'Execuções'!$B$9:$B$158,$A20,'Execuções'!$C$9:$C$158,LEFT($B20,4))</x:f>
        <x:v>0</x:v>
      </x:c>
      <x:c r="F20" s="99" t="str">
        <x:f>IF(E20=0,"",D20/E20)</x:f>
      </x:c>
      <x:c r="H20" t="n">
        <x:f>IF(AND('Execuções'!B20&lt;&gt;"",'Execuções'!C20&lt;&gt;"",ISNUMBER('Execuções'!K20),COUNTIF('Execuções'!$AC$3:$AC$7,'Execuções'!D20)=1,COUNTIFS('Execuções'!$B$9:$B$158,'Execuções'!B20,'Execuções'!$C$9:$C$158,'Execuções'!C20,'Execuções'!$D$9:$D$158,'Execuções'!D20)=1),1,0)</x:f>
        <x:v>0</x:v>
      </x:c>
      <x:c r="I20" t="str">
        <x:f>IF($H20=1,LEFT('Execuções'!E20,FIND(";",'Execuções'!E20&amp;";")-1),"")</x:f>
      </x:c>
      <x:c r="J20" t="str">
        <x:f>IF($H20=1,TRIM(MID('Execuções'!E20,LEN(I20)+2,LEN('Execuções'!E20))),"")</x:f>
      </x:c>
      <x:c r="K20" t="str">
        <x:f>LEFT(J20,FIND(";",J20&amp;";")-1)</x:f>
      </x:c>
      <x:c r="L20" t="str">
        <x:f>IF(LEN(J20)&gt;LEN(K20),TRIM(MID(J20,LEN(K20)+2,LEN(J20))),"")</x:f>
      </x:c>
    </x:row>
    <x:row r="21" ht="44" customHeight="1">
      <x:c r="A21" s="90" t="str">
        <x:v>M3 — GPT-5.6 Luna</x:v>
      </x:c>
      <x:c r="B21" s="90" t="str">
        <x:v>C1-A-02</x:v>
      </x:c>
      <x:c r="C21" s="91" t="str">
        <x:v>Responsabilidades e coesão</x:v>
      </x:c>
      <x:c r="D21" s="98" t="n">
        <x:f>SUM(COUNTIFS('Execuções'!$B$9:$B$158,$A21,'Execuções'!$C$9:$C$158,LEFT($B21,4),$I$9:$I$158,$B21),COUNTIFS('Execuções'!$B$9:$B$158,$A21,'Execuções'!$C$9:$C$158,LEFT($B21,4),$K$9:$K$158,$B21),COUNTIFS('Execuções'!$B$9:$B$158,$A21,'Execuções'!$C$9:$C$158,LEFT($B21,4),$L$9:$L$158,$B21))</x:f>
        <x:v>0</x:v>
      </x:c>
      <x:c r="E21" s="98" t="n">
        <x:f>SUMIFS($H$9:$H$158,'Execuções'!$B$9:$B$158,$A21,'Execuções'!$C$9:$C$158,LEFT($B21,4))</x:f>
        <x:v>0</x:v>
      </x:c>
      <x:c r="F21" s="99" t="str">
        <x:f>IF(E21=0,"",D21/E21)</x:f>
      </x:c>
      <x:c r="H21" t="n">
        <x:f>IF(AND('Execuções'!B21&lt;&gt;"",'Execuções'!C21&lt;&gt;"",ISNUMBER('Execuções'!K21),COUNTIF('Execuções'!$AC$3:$AC$7,'Execuções'!D21)=1,COUNTIFS('Execuções'!$B$9:$B$158,'Execuções'!B21,'Execuções'!$C$9:$C$158,'Execuções'!C21,'Execuções'!$D$9:$D$158,'Execuções'!D21)=1),1,0)</x:f>
        <x:v>0</x:v>
      </x:c>
      <x:c r="I21" t="str">
        <x:f>IF($H21=1,LEFT('Execuções'!E21,FIND(";",'Execuções'!E21&amp;";")-1),"")</x:f>
      </x:c>
      <x:c r="J21" t="str">
        <x:f>IF($H21=1,TRIM(MID('Execuções'!E21,LEN(I21)+2,LEN('Execuções'!E21))),"")</x:f>
      </x:c>
      <x:c r="K21" t="str">
        <x:f>LEFT(J21,FIND(";",J21&amp;";")-1)</x:f>
      </x:c>
      <x:c r="L21" t="str">
        <x:f>IF(LEN(J21)&gt;LEN(K21),TRIM(MID(J21,LEN(K21)+2,LEN(J21))),"")</x:f>
      </x:c>
    </x:row>
    <x:row r="22" ht="44" customHeight="1">
      <x:c r="A22" s="90" t="str">
        <x:v>M1 — gemma-4-E4B-it-GGUF</x:v>
      </x:c>
      <x:c r="B22" s="90" t="str">
        <x:v>C1-A-03</x:v>
      </x:c>
      <x:c r="C22" s="91" t="str">
        <x:v>Responsabilidades e coesão</x:v>
      </x:c>
      <x:c r="D22" s="98" t="n">
        <x:f>SUM(COUNTIFS('Execuções'!$B$9:$B$158,$A22,'Execuções'!$C$9:$C$158,LEFT($B22,4),$I$9:$I$158,$B22),COUNTIFS('Execuções'!$B$9:$B$158,$A22,'Execuções'!$C$9:$C$158,LEFT($B22,4),$K$9:$K$158,$B22),COUNTIFS('Execuções'!$B$9:$B$158,$A22,'Execuções'!$C$9:$C$158,LEFT($B22,4),$L$9:$L$158,$B22))</x:f>
        <x:v>0</x:v>
      </x:c>
      <x:c r="E22" s="98" t="n">
        <x:f>SUMIFS($H$9:$H$158,'Execuções'!$B$9:$B$158,$A22,'Execuções'!$C$9:$C$158,LEFT($B22,4))</x:f>
        <x:v>0</x:v>
      </x:c>
      <x:c r="F22" s="99" t="str">
        <x:f>IF(E22=0,"",D22/E22)</x:f>
      </x:c>
      <x:c r="H22" t="n">
        <x:f>IF(AND('Execuções'!B22&lt;&gt;"",'Execuções'!C22&lt;&gt;"",ISNUMBER('Execuções'!K22),COUNTIF('Execuções'!$AC$3:$AC$7,'Execuções'!D22)=1,COUNTIFS('Execuções'!$B$9:$B$158,'Execuções'!B22,'Execuções'!$C$9:$C$158,'Execuções'!C22,'Execuções'!$D$9:$D$158,'Execuções'!D22)=1),1,0)</x:f>
        <x:v>0</x:v>
      </x:c>
      <x:c r="I22" t="str">
        <x:f>IF($H22=1,LEFT('Execuções'!E22,FIND(";",'Execuções'!E22&amp;";")-1),"")</x:f>
      </x:c>
      <x:c r="J22" t="str">
        <x:f>IF($H22=1,TRIM(MID('Execuções'!E22,LEN(I22)+2,LEN('Execuções'!E22))),"")</x:f>
      </x:c>
      <x:c r="K22" t="str">
        <x:f>LEFT(J22,FIND(";",J22&amp;";")-1)</x:f>
      </x:c>
      <x:c r="L22" t="str">
        <x:f>IF(LEN(J22)&gt;LEN(K22),TRIM(MID(J22,LEN(K22)+2,LEN(J22))),"")</x:f>
      </x:c>
    </x:row>
    <x:row r="23" ht="44" customHeight="1">
      <x:c r="A23" s="90" t="str">
        <x:v>M2 — Qwen3.6-27B-GGUF</x:v>
      </x:c>
      <x:c r="B23" s="90" t="str">
        <x:v>C1-A-03</x:v>
      </x:c>
      <x:c r="C23" s="91" t="str">
        <x:v>Responsabilidades e coesão</x:v>
      </x:c>
      <x:c r="D23" s="98" t="n">
        <x:f>SUM(COUNTIFS('Execuções'!$B$9:$B$158,$A23,'Execuções'!$C$9:$C$158,LEFT($B23,4),$I$9:$I$158,$B23),COUNTIFS('Execuções'!$B$9:$B$158,$A23,'Execuções'!$C$9:$C$158,LEFT($B23,4),$K$9:$K$158,$B23),COUNTIFS('Execuções'!$B$9:$B$158,$A23,'Execuções'!$C$9:$C$158,LEFT($B23,4),$L$9:$L$158,$B23))</x:f>
        <x:v>0</x:v>
      </x:c>
      <x:c r="E23" s="98" t="n">
        <x:f>SUMIFS($H$9:$H$158,'Execuções'!$B$9:$B$158,$A23,'Execuções'!$C$9:$C$158,LEFT($B23,4))</x:f>
        <x:v>0</x:v>
      </x:c>
      <x:c r="F23" s="99" t="str">
        <x:f>IF(E23=0,"",D23/E23)</x:f>
      </x:c>
      <x:c r="H23" t="n">
        <x:f>IF(AND('Execuções'!B23&lt;&gt;"",'Execuções'!C23&lt;&gt;"",ISNUMBER('Execuções'!K23),COUNTIF('Execuções'!$AC$3:$AC$7,'Execuções'!D23)=1,COUNTIFS('Execuções'!$B$9:$B$158,'Execuções'!B23,'Execuções'!$C$9:$C$158,'Execuções'!C23,'Execuções'!$D$9:$D$158,'Execuções'!D23)=1),1,0)</x:f>
        <x:v>0</x:v>
      </x:c>
      <x:c r="I23" t="str">
        <x:f>IF($H23=1,LEFT('Execuções'!E23,FIND(";",'Execuções'!E23&amp;";")-1),"")</x:f>
      </x:c>
      <x:c r="J23" t="str">
        <x:f>IF($H23=1,TRIM(MID('Execuções'!E23,LEN(I23)+2,LEN('Execuções'!E23))),"")</x:f>
      </x:c>
      <x:c r="K23" t="str">
        <x:f>LEFT(J23,FIND(";",J23&amp;";")-1)</x:f>
      </x:c>
      <x:c r="L23" t="str">
        <x:f>IF(LEN(J23)&gt;LEN(K23),TRIM(MID(J23,LEN(K23)+2,LEN(J23))),"")</x:f>
      </x:c>
    </x:row>
    <x:row r="24" ht="44" customHeight="1">
      <x:c r="A24" s="90" t="str">
        <x:v>M3 — GPT-5.6 Luna</x:v>
      </x:c>
      <x:c r="B24" s="90" t="str">
        <x:v>C1-A-03</x:v>
      </x:c>
      <x:c r="C24" s="91" t="str">
        <x:v>Responsabilidades e coesão</x:v>
      </x:c>
      <x:c r="D24" s="98" t="n">
        <x:f>SUM(COUNTIFS('Execuções'!$B$9:$B$158,$A24,'Execuções'!$C$9:$C$158,LEFT($B24,4),$I$9:$I$158,$B24),COUNTIFS('Execuções'!$B$9:$B$158,$A24,'Execuções'!$C$9:$C$158,LEFT($B24,4),$K$9:$K$158,$B24),COUNTIFS('Execuções'!$B$9:$B$158,$A24,'Execuções'!$C$9:$C$158,LEFT($B24,4),$L$9:$L$158,$B24))</x:f>
        <x:v>0</x:v>
      </x:c>
      <x:c r="E24" s="98" t="n">
        <x:f>SUMIFS($H$9:$H$158,'Execuções'!$B$9:$B$158,$A24,'Execuções'!$C$9:$C$158,LEFT($B24,4))</x:f>
        <x:v>0</x:v>
      </x:c>
      <x:c r="F24" s="99" t="str">
        <x:f>IF(E24=0,"",D24/E24)</x:f>
      </x:c>
      <x:c r="H24" t="n">
        <x:f>IF(AND('Execuções'!B24&lt;&gt;"",'Execuções'!C24&lt;&gt;"",ISNUMBER('Execuções'!K24),COUNTIF('Execuções'!$AC$3:$AC$7,'Execuções'!D24)=1,COUNTIFS('Execuções'!$B$9:$B$158,'Execuções'!B24,'Execuções'!$C$9:$C$158,'Execuções'!C24,'Execuções'!$D$9:$D$158,'Execuções'!D24)=1),1,0)</x:f>
        <x:v>0</x:v>
      </x:c>
      <x:c r="I24" t="str">
        <x:f>IF($H24=1,LEFT('Execuções'!E24,FIND(";",'Execuções'!E24&amp;";")-1),"")</x:f>
      </x:c>
      <x:c r="J24" t="str">
        <x:f>IF($H24=1,TRIM(MID('Execuções'!E24,LEN(I24)+2,LEN('Execuções'!E24))),"")</x:f>
      </x:c>
      <x:c r="K24" t="str">
        <x:f>LEFT(J24,FIND(";",J24&amp;";")-1)</x:f>
      </x:c>
      <x:c r="L24" t="str">
        <x:f>IF(LEN(J24)&gt;LEN(K24),TRIM(MID(J24,LEN(K24)+2,LEN(J24))),"")</x:f>
      </x:c>
    </x:row>
    <x:row r="25" ht="44" customHeight="1">
      <x:c r="A25" s="90" t="str">
        <x:v>M1 — gemma-4-E4B-it-GGUF</x:v>
      </x:c>
      <x:c r="B25" s="90" t="str">
        <x:v>C1-B-01</x:v>
      </x:c>
      <x:c r="C25" s="91" t="str">
        <x:v>Responsabilidades e coesão</x:v>
      </x:c>
      <x:c r="D25" s="98" t="n">
        <x:f>SUM(COUNTIFS('Execuções'!$B$9:$B$158,$A25,'Execuções'!$C$9:$C$158,LEFT($B25,4),$I$9:$I$158,$B25),COUNTIFS('Execuções'!$B$9:$B$158,$A25,'Execuções'!$C$9:$C$158,LEFT($B25,4),$K$9:$K$158,$B25),COUNTIFS('Execuções'!$B$9:$B$158,$A25,'Execuções'!$C$9:$C$158,LEFT($B25,4),$L$9:$L$158,$B25))</x:f>
        <x:v>0</x:v>
      </x:c>
      <x:c r="E25" s="98" t="n">
        <x:f>SUMIFS($H$9:$H$158,'Execuções'!$B$9:$B$158,$A25,'Execuções'!$C$9:$C$158,LEFT($B25,4))</x:f>
        <x:v>0</x:v>
      </x:c>
      <x:c r="F25" s="99" t="str">
        <x:f>IF(E25=0,"",D25/E25)</x:f>
      </x:c>
      <x:c r="H25" t="n">
        <x:f>IF(AND('Execuções'!B25&lt;&gt;"",'Execuções'!C25&lt;&gt;"",ISNUMBER('Execuções'!K25),COUNTIF('Execuções'!$AC$3:$AC$7,'Execuções'!D25)=1,COUNTIFS('Execuções'!$B$9:$B$158,'Execuções'!B25,'Execuções'!$C$9:$C$158,'Execuções'!C25,'Execuções'!$D$9:$D$158,'Execuções'!D25)=1),1,0)</x:f>
        <x:v>0</x:v>
      </x:c>
      <x:c r="I25" t="str">
        <x:f>IF($H25=1,LEFT('Execuções'!E25,FIND(";",'Execuções'!E25&amp;";")-1),"")</x:f>
      </x:c>
      <x:c r="J25" t="str">
        <x:f>IF($H25=1,TRIM(MID('Execuções'!E25,LEN(I25)+2,LEN('Execuções'!E25))),"")</x:f>
      </x:c>
      <x:c r="K25" t="str">
        <x:f>LEFT(J25,FIND(";",J25&amp;";")-1)</x:f>
      </x:c>
      <x:c r="L25" t="str">
        <x:f>IF(LEN(J25)&gt;LEN(K25),TRIM(MID(J25,LEN(K25)+2,LEN(J25))),"")</x:f>
      </x:c>
    </x:row>
    <x:row r="26" ht="44" customHeight="1">
      <x:c r="A26" s="90" t="str">
        <x:v>M2 — Qwen3.6-27B-GGUF</x:v>
      </x:c>
      <x:c r="B26" s="90" t="str">
        <x:v>C1-B-01</x:v>
      </x:c>
      <x:c r="C26" s="91" t="str">
        <x:v>Responsabilidades e coesão</x:v>
      </x:c>
      <x:c r="D26" s="98" t="n">
        <x:f>SUM(COUNTIFS('Execuções'!$B$9:$B$158,$A26,'Execuções'!$C$9:$C$158,LEFT($B26,4),$I$9:$I$158,$B26),COUNTIFS('Execuções'!$B$9:$B$158,$A26,'Execuções'!$C$9:$C$158,LEFT($B26,4),$K$9:$K$158,$B26),COUNTIFS('Execuções'!$B$9:$B$158,$A26,'Execuções'!$C$9:$C$158,LEFT($B26,4),$L$9:$L$158,$B26))</x:f>
        <x:v>0</x:v>
      </x:c>
      <x:c r="E26" s="98" t="n">
        <x:f>SUMIFS($H$9:$H$158,'Execuções'!$B$9:$B$158,$A26,'Execuções'!$C$9:$C$158,LEFT($B26,4))</x:f>
        <x:v>0</x:v>
      </x:c>
      <x:c r="F26" s="99" t="str">
        <x:f>IF(E26=0,"",D26/E26)</x:f>
      </x:c>
      <x:c r="H26" t="n">
        <x:f>IF(AND('Execuções'!B26&lt;&gt;"",'Execuções'!C26&lt;&gt;"",ISNUMBER('Execuções'!K26),COUNTIF('Execuções'!$AC$3:$AC$7,'Execuções'!D26)=1,COUNTIFS('Execuções'!$B$9:$B$158,'Execuções'!B26,'Execuções'!$C$9:$C$158,'Execuções'!C26,'Execuções'!$D$9:$D$158,'Execuções'!D26)=1),1,0)</x:f>
        <x:v>0</x:v>
      </x:c>
      <x:c r="I26" t="str">
        <x:f>IF($H26=1,LEFT('Execuções'!E26,FIND(";",'Execuções'!E26&amp;";")-1),"")</x:f>
      </x:c>
      <x:c r="J26" t="str">
        <x:f>IF($H26=1,TRIM(MID('Execuções'!E26,LEN(I26)+2,LEN('Execuções'!E26))),"")</x:f>
      </x:c>
      <x:c r="K26" t="str">
        <x:f>LEFT(J26,FIND(";",J26&amp;";")-1)</x:f>
      </x:c>
      <x:c r="L26" t="str">
        <x:f>IF(LEN(J26)&gt;LEN(K26),TRIM(MID(J26,LEN(K26)+2,LEN(J26))),"")</x:f>
      </x:c>
    </x:row>
    <x:row r="27" ht="44" customHeight="1">
      <x:c r="A27" s="90" t="str">
        <x:v>M3 — GPT-5.6 Luna</x:v>
      </x:c>
      <x:c r="B27" s="90" t="str">
        <x:v>C1-B-01</x:v>
      </x:c>
      <x:c r="C27" s="91" t="str">
        <x:v>Responsabilidades e coesão</x:v>
      </x:c>
      <x:c r="D27" s="98" t="n">
        <x:f>SUM(COUNTIFS('Execuções'!$B$9:$B$158,$A27,'Execuções'!$C$9:$C$158,LEFT($B27,4),$I$9:$I$158,$B27),COUNTIFS('Execuções'!$B$9:$B$158,$A27,'Execuções'!$C$9:$C$158,LEFT($B27,4),$K$9:$K$158,$B27),COUNTIFS('Execuções'!$B$9:$B$158,$A27,'Execuções'!$C$9:$C$158,LEFT($B27,4),$L$9:$L$158,$B27))</x:f>
        <x:v>0</x:v>
      </x:c>
      <x:c r="E27" s="98" t="n">
        <x:f>SUMIFS($H$9:$H$158,'Execuções'!$B$9:$B$158,$A27,'Execuções'!$C$9:$C$158,LEFT($B27,4))</x:f>
        <x:v>0</x:v>
      </x:c>
      <x:c r="F27" s="99" t="str">
        <x:f>IF(E27=0,"",D27/E27)</x:f>
      </x:c>
      <x:c r="H27" t="n">
        <x:f>IF(AND('Execuções'!B27&lt;&gt;"",'Execuções'!C27&lt;&gt;"",ISNUMBER('Execuções'!K27),COUNTIF('Execuções'!$AC$3:$AC$7,'Execuções'!D27)=1,COUNTIFS('Execuções'!$B$9:$B$158,'Execuções'!B27,'Execuções'!$C$9:$C$158,'Execuções'!C27,'Execuções'!$D$9:$D$158,'Execuções'!D27)=1),1,0)</x:f>
        <x:v>0</x:v>
      </x:c>
      <x:c r="I27" t="str">
        <x:f>IF($H27=1,LEFT('Execuções'!E27,FIND(";",'Execuções'!E27&amp;";")-1),"")</x:f>
      </x:c>
      <x:c r="J27" t="str">
        <x:f>IF($H27=1,TRIM(MID('Execuções'!E27,LEN(I27)+2,LEN('Execuções'!E27))),"")</x:f>
      </x:c>
      <x:c r="K27" t="str">
        <x:f>LEFT(J27,FIND(";",J27&amp;";")-1)</x:f>
      </x:c>
      <x:c r="L27" t="str">
        <x:f>IF(LEN(J27)&gt;LEN(K27),TRIM(MID(J27,LEN(K27)+2,LEN(J27))),"")</x:f>
      </x:c>
    </x:row>
    <x:row r="28" ht="44" customHeight="1">
      <x:c r="A28" s="90" t="str">
        <x:v>M1 — gemma-4-E4B-it-GGUF</x:v>
      </x:c>
      <x:c r="B28" s="90" t="str">
        <x:v>C1-B-02</x:v>
      </x:c>
      <x:c r="C28" s="91" t="str">
        <x:v>Responsabilidades e coesão</x:v>
      </x:c>
      <x:c r="D28" s="98" t="n">
        <x:f>SUM(COUNTIFS('Execuções'!$B$9:$B$158,$A28,'Execuções'!$C$9:$C$158,LEFT($B28,4),$I$9:$I$158,$B28),COUNTIFS('Execuções'!$B$9:$B$158,$A28,'Execuções'!$C$9:$C$158,LEFT($B28,4),$K$9:$K$158,$B28),COUNTIFS('Execuções'!$B$9:$B$158,$A28,'Execuções'!$C$9:$C$158,LEFT($B28,4),$L$9:$L$158,$B28))</x:f>
        <x:v>0</x:v>
      </x:c>
      <x:c r="E28" s="98" t="n">
        <x:f>SUMIFS($H$9:$H$158,'Execuções'!$B$9:$B$158,$A28,'Execuções'!$C$9:$C$158,LEFT($B28,4))</x:f>
        <x:v>0</x:v>
      </x:c>
      <x:c r="F28" s="99" t="str">
        <x:f>IF(E28=0,"",D28/E28)</x:f>
      </x:c>
      <x:c r="H28" t="n">
        <x:f>IF(AND('Execuções'!B28&lt;&gt;"",'Execuções'!C28&lt;&gt;"",ISNUMBER('Execuções'!K28),COUNTIF('Execuções'!$AC$3:$AC$7,'Execuções'!D28)=1,COUNTIFS('Execuções'!$B$9:$B$158,'Execuções'!B28,'Execuções'!$C$9:$C$158,'Execuções'!C28,'Execuções'!$D$9:$D$158,'Execuções'!D28)=1),1,0)</x:f>
        <x:v>0</x:v>
      </x:c>
      <x:c r="I28" t="str">
        <x:f>IF($H28=1,LEFT('Execuções'!E28,FIND(";",'Execuções'!E28&amp;";")-1),"")</x:f>
      </x:c>
      <x:c r="J28" t="str">
        <x:f>IF($H28=1,TRIM(MID('Execuções'!E28,LEN(I28)+2,LEN('Execuções'!E28))),"")</x:f>
      </x:c>
      <x:c r="K28" t="str">
        <x:f>LEFT(J28,FIND(";",J28&amp;";")-1)</x:f>
      </x:c>
      <x:c r="L28" t="str">
        <x:f>IF(LEN(J28)&gt;LEN(K28),TRIM(MID(J28,LEN(K28)+2,LEN(J28))),"")</x:f>
      </x:c>
    </x:row>
    <x:row r="29" ht="44" customHeight="1">
      <x:c r="A29" s="90" t="str">
        <x:v>M2 — Qwen3.6-27B-GGUF</x:v>
      </x:c>
      <x:c r="B29" s="90" t="str">
        <x:v>C1-B-02</x:v>
      </x:c>
      <x:c r="C29" s="91" t="str">
        <x:v>Responsabilidades e coesão</x:v>
      </x:c>
      <x:c r="D29" s="98" t="n">
        <x:f>SUM(COUNTIFS('Execuções'!$B$9:$B$158,$A29,'Execuções'!$C$9:$C$158,LEFT($B29,4),$I$9:$I$158,$B29),COUNTIFS('Execuções'!$B$9:$B$158,$A29,'Execuções'!$C$9:$C$158,LEFT($B29,4),$K$9:$K$158,$B29),COUNTIFS('Execuções'!$B$9:$B$158,$A29,'Execuções'!$C$9:$C$158,LEFT($B29,4),$L$9:$L$158,$B29))</x:f>
        <x:v>0</x:v>
      </x:c>
      <x:c r="E29" s="98" t="n">
        <x:f>SUMIFS($H$9:$H$158,'Execuções'!$B$9:$B$158,$A29,'Execuções'!$C$9:$C$158,LEFT($B29,4))</x:f>
        <x:v>0</x:v>
      </x:c>
      <x:c r="F29" s="99" t="str">
        <x:f>IF(E29=0,"",D29/E29)</x:f>
      </x:c>
      <x:c r="H29" t="n">
        <x:f>IF(AND('Execuções'!B29&lt;&gt;"",'Execuções'!C29&lt;&gt;"",ISNUMBER('Execuções'!K29),COUNTIF('Execuções'!$AC$3:$AC$7,'Execuções'!D29)=1,COUNTIFS('Execuções'!$B$9:$B$158,'Execuções'!B29,'Execuções'!$C$9:$C$158,'Execuções'!C29,'Execuções'!$D$9:$D$158,'Execuções'!D29)=1),1,0)</x:f>
        <x:v>0</x:v>
      </x:c>
      <x:c r="I29" t="str">
        <x:f>IF($H29=1,LEFT('Execuções'!E29,FIND(";",'Execuções'!E29&amp;";")-1),"")</x:f>
      </x:c>
      <x:c r="J29" t="str">
        <x:f>IF($H29=1,TRIM(MID('Execuções'!E29,LEN(I29)+2,LEN('Execuções'!E29))),"")</x:f>
      </x:c>
      <x:c r="K29" t="str">
        <x:f>LEFT(J29,FIND(";",J29&amp;";")-1)</x:f>
      </x:c>
      <x:c r="L29" t="str">
        <x:f>IF(LEN(J29)&gt;LEN(K29),TRIM(MID(J29,LEN(K29)+2,LEN(J29))),"")</x:f>
      </x:c>
    </x:row>
    <x:row r="30" ht="44" customHeight="1">
      <x:c r="A30" s="90" t="str">
        <x:v>M3 — GPT-5.6 Luna</x:v>
      </x:c>
      <x:c r="B30" s="90" t="str">
        <x:v>C1-B-02</x:v>
      </x:c>
      <x:c r="C30" s="91" t="str">
        <x:v>Responsabilidades e coesão</x:v>
      </x:c>
      <x:c r="D30" s="98" t="n">
        <x:f>SUM(COUNTIFS('Execuções'!$B$9:$B$158,$A30,'Execuções'!$C$9:$C$158,LEFT($B30,4),$I$9:$I$158,$B30),COUNTIFS('Execuções'!$B$9:$B$158,$A30,'Execuções'!$C$9:$C$158,LEFT($B30,4),$K$9:$K$158,$B30),COUNTIFS('Execuções'!$B$9:$B$158,$A30,'Execuções'!$C$9:$C$158,LEFT($B30,4),$L$9:$L$158,$B30))</x:f>
        <x:v>0</x:v>
      </x:c>
      <x:c r="E30" s="98" t="n">
        <x:f>SUMIFS($H$9:$H$158,'Execuções'!$B$9:$B$158,$A30,'Execuções'!$C$9:$C$158,LEFT($B30,4))</x:f>
        <x:v>0</x:v>
      </x:c>
      <x:c r="F30" s="99" t="str">
        <x:f>IF(E30=0,"",D30/E30)</x:f>
      </x:c>
      <x:c r="H30" t="n">
        <x:f>IF(AND('Execuções'!B30&lt;&gt;"",'Execuções'!C30&lt;&gt;"",ISNUMBER('Execuções'!K30),COUNTIF('Execuções'!$AC$3:$AC$7,'Execuções'!D30)=1,COUNTIFS('Execuções'!$B$9:$B$158,'Execuções'!B30,'Execuções'!$C$9:$C$158,'Execuções'!C30,'Execuções'!$D$9:$D$158,'Execuções'!D30)=1),1,0)</x:f>
        <x:v>0</x:v>
      </x:c>
      <x:c r="I30" t="str">
        <x:f>IF($H30=1,LEFT('Execuções'!E30,FIND(";",'Execuções'!E30&amp;";")-1),"")</x:f>
      </x:c>
      <x:c r="J30" t="str">
        <x:f>IF($H30=1,TRIM(MID('Execuções'!E30,LEN(I30)+2,LEN('Execuções'!E30))),"")</x:f>
      </x:c>
      <x:c r="K30" t="str">
        <x:f>LEFT(J30,FIND(";",J30&amp;";")-1)</x:f>
      </x:c>
      <x:c r="L30" t="str">
        <x:f>IF(LEN(J30)&gt;LEN(K30),TRIM(MID(J30,LEN(K30)+2,LEN(J30))),"")</x:f>
      </x:c>
    </x:row>
    <x:row r="31" ht="44" customHeight="1">
      <x:c r="A31" s="90" t="str">
        <x:v>M1 — gemma-4-E4B-it-GGUF</x:v>
      </x:c>
      <x:c r="B31" s="90" t="str">
        <x:v>C2-A-01</x:v>
      </x:c>
      <x:c r="C31" s="91" t="str">
        <x:v>Acoplamento a implementações concretas</x:v>
      </x:c>
      <x:c r="D31" s="98" t="n">
        <x:f>SUM(COUNTIFS('Execuções'!$B$9:$B$158,$A31,'Execuções'!$C$9:$C$158,LEFT($B31,4),$I$9:$I$158,$B31),COUNTIFS('Execuções'!$B$9:$B$158,$A31,'Execuções'!$C$9:$C$158,LEFT($B31,4),$K$9:$K$158,$B31),COUNTIFS('Execuções'!$B$9:$B$158,$A31,'Execuções'!$C$9:$C$158,LEFT($B31,4),$L$9:$L$158,$B31))</x:f>
        <x:v>0</x:v>
      </x:c>
      <x:c r="E31" s="98" t="n">
        <x:f>SUMIFS($H$9:$H$158,'Execuções'!$B$9:$B$158,$A31,'Execuções'!$C$9:$C$158,LEFT($B31,4))</x:f>
        <x:v>0</x:v>
      </x:c>
      <x:c r="F31" s="99" t="str">
        <x:f>IF(E31=0,"",D31/E31)</x:f>
      </x:c>
      <x:c r="H31" t="n">
        <x:f>IF(AND('Execuções'!B31&lt;&gt;"",'Execuções'!C31&lt;&gt;"",ISNUMBER('Execuções'!K31),COUNTIF('Execuções'!$AC$3:$AC$7,'Execuções'!D31)=1,COUNTIFS('Execuções'!$B$9:$B$158,'Execuções'!B31,'Execuções'!$C$9:$C$158,'Execuções'!C31,'Execuções'!$D$9:$D$158,'Execuções'!D31)=1),1,0)</x:f>
        <x:v>0</x:v>
      </x:c>
      <x:c r="I31" t="str">
        <x:f>IF($H31=1,LEFT('Execuções'!E31,FIND(";",'Execuções'!E31&amp;";")-1),"")</x:f>
      </x:c>
      <x:c r="J31" t="str">
        <x:f>IF($H31=1,TRIM(MID('Execuções'!E31,LEN(I31)+2,LEN('Execuções'!E31))),"")</x:f>
      </x:c>
      <x:c r="K31" t="str">
        <x:f>LEFT(J31,FIND(";",J31&amp;";")-1)</x:f>
      </x:c>
      <x:c r="L31" t="str">
        <x:f>IF(LEN(J31)&gt;LEN(K31),TRIM(MID(J31,LEN(K31)+2,LEN(J31))),"")</x:f>
      </x:c>
    </x:row>
    <x:row r="32" ht="44" customHeight="1">
      <x:c r="A32" s="90" t="str">
        <x:v>M2 — Qwen3.6-27B-GGUF</x:v>
      </x:c>
      <x:c r="B32" s="90" t="str">
        <x:v>C2-A-01</x:v>
      </x:c>
      <x:c r="C32" s="91" t="str">
        <x:v>Acoplamento a implementações concretas</x:v>
      </x:c>
      <x:c r="D32" s="98" t="n">
        <x:f>SUM(COUNTIFS('Execuções'!$B$9:$B$158,$A32,'Execuções'!$C$9:$C$158,LEFT($B32,4),$I$9:$I$158,$B32),COUNTIFS('Execuções'!$B$9:$B$158,$A32,'Execuções'!$C$9:$C$158,LEFT($B32,4),$K$9:$K$158,$B32),COUNTIFS('Execuções'!$B$9:$B$158,$A32,'Execuções'!$C$9:$C$158,LEFT($B32,4),$L$9:$L$158,$B32))</x:f>
        <x:v>0</x:v>
      </x:c>
      <x:c r="E32" s="98" t="n">
        <x:f>SUMIFS($H$9:$H$158,'Execuções'!$B$9:$B$158,$A32,'Execuções'!$C$9:$C$158,LEFT($B32,4))</x:f>
        <x:v>0</x:v>
      </x:c>
      <x:c r="F32" s="99" t="str">
        <x:f>IF(E32=0,"",D32/E32)</x:f>
      </x:c>
      <x:c r="H32" t="n">
        <x:f>IF(AND('Execuções'!B32&lt;&gt;"",'Execuções'!C32&lt;&gt;"",ISNUMBER('Execuções'!K32),COUNTIF('Execuções'!$AC$3:$AC$7,'Execuções'!D32)=1,COUNTIFS('Execuções'!$B$9:$B$158,'Execuções'!B32,'Execuções'!$C$9:$C$158,'Execuções'!C32,'Execuções'!$D$9:$D$158,'Execuções'!D32)=1),1,0)</x:f>
        <x:v>0</x:v>
      </x:c>
      <x:c r="I32" t="str">
        <x:f>IF($H32=1,LEFT('Execuções'!E32,FIND(";",'Execuções'!E32&amp;";")-1),"")</x:f>
      </x:c>
      <x:c r="J32" t="str">
        <x:f>IF($H32=1,TRIM(MID('Execuções'!E32,LEN(I32)+2,LEN('Execuções'!E32))),"")</x:f>
      </x:c>
      <x:c r="K32" t="str">
        <x:f>LEFT(J32,FIND(";",J32&amp;";")-1)</x:f>
      </x:c>
      <x:c r="L32" t="str">
        <x:f>IF(LEN(J32)&gt;LEN(K32),TRIM(MID(J32,LEN(K32)+2,LEN(J32))),"")</x:f>
      </x:c>
    </x:row>
    <x:row r="33" ht="44" customHeight="1">
      <x:c r="A33" s="90" t="str">
        <x:v>M3 — GPT-5.6 Luna</x:v>
      </x:c>
      <x:c r="B33" s="90" t="str">
        <x:v>C2-A-01</x:v>
      </x:c>
      <x:c r="C33" s="91" t="str">
        <x:v>Acoplamento a implementações concretas</x:v>
      </x:c>
      <x:c r="D33" s="98" t="n">
        <x:f>SUM(COUNTIFS('Execuções'!$B$9:$B$158,$A33,'Execuções'!$C$9:$C$158,LEFT($B33,4),$I$9:$I$158,$B33),COUNTIFS('Execuções'!$B$9:$B$158,$A33,'Execuções'!$C$9:$C$158,LEFT($B33,4),$K$9:$K$158,$B33),COUNTIFS('Execuções'!$B$9:$B$158,$A33,'Execuções'!$C$9:$C$158,LEFT($B33,4),$L$9:$L$158,$B33))</x:f>
        <x:v>0</x:v>
      </x:c>
      <x:c r="E33" s="98" t="n">
        <x:f>SUMIFS($H$9:$H$158,'Execuções'!$B$9:$B$158,$A33,'Execuções'!$C$9:$C$158,LEFT($B33,4))</x:f>
        <x:v>0</x:v>
      </x:c>
      <x:c r="F33" s="99" t="str">
        <x:f>IF(E33=0,"",D33/E33)</x:f>
      </x:c>
      <x:c r="H33" t="n">
        <x:f>IF(AND('Execuções'!B33&lt;&gt;"",'Execuções'!C33&lt;&gt;"",ISNUMBER('Execuções'!K33),COUNTIF('Execuções'!$AC$3:$AC$7,'Execuções'!D33)=1,COUNTIFS('Execuções'!$B$9:$B$158,'Execuções'!B33,'Execuções'!$C$9:$C$158,'Execuções'!C33,'Execuções'!$D$9:$D$158,'Execuções'!D33)=1),1,0)</x:f>
        <x:v>0</x:v>
      </x:c>
      <x:c r="I33" t="str">
        <x:f>IF($H33=1,LEFT('Execuções'!E33,FIND(";",'Execuções'!E33&amp;";")-1),"")</x:f>
      </x:c>
      <x:c r="J33" t="str">
        <x:f>IF($H33=1,TRIM(MID('Execuções'!E33,LEN(I33)+2,LEN('Execuções'!E33))),"")</x:f>
      </x:c>
      <x:c r="K33" t="str">
        <x:f>LEFT(J33,FIND(";",J33&amp;";")-1)</x:f>
      </x:c>
      <x:c r="L33" t="str">
        <x:f>IF(LEN(J33)&gt;LEN(K33),TRIM(MID(J33,LEN(K33)+2,LEN(J33))),"")</x:f>
      </x:c>
    </x:row>
    <x:row r="34" ht="44" customHeight="1">
      <x:c r="A34" s="90" t="str">
        <x:v>M1 — gemma-4-E4B-it-GGUF</x:v>
      </x:c>
      <x:c r="B34" s="90" t="str">
        <x:v>C2-A-02</x:v>
      </x:c>
      <x:c r="C34" s="91" t="str">
        <x:v>Acoplamento a implementações concretas</x:v>
      </x:c>
      <x:c r="D34" s="98" t="n">
        <x:f>SUM(COUNTIFS('Execuções'!$B$9:$B$158,$A34,'Execuções'!$C$9:$C$158,LEFT($B34,4),$I$9:$I$158,$B34),COUNTIFS('Execuções'!$B$9:$B$158,$A34,'Execuções'!$C$9:$C$158,LEFT($B34,4),$K$9:$K$158,$B34),COUNTIFS('Execuções'!$B$9:$B$158,$A34,'Execuções'!$C$9:$C$158,LEFT($B34,4),$L$9:$L$158,$B34))</x:f>
        <x:v>0</x:v>
      </x:c>
      <x:c r="E34" s="98" t="n">
        <x:f>SUMIFS($H$9:$H$158,'Execuções'!$B$9:$B$158,$A34,'Execuções'!$C$9:$C$158,LEFT($B34,4))</x:f>
        <x:v>0</x:v>
      </x:c>
      <x:c r="F34" s="99" t="str">
        <x:f>IF(E34=0,"",D34/E34)</x:f>
      </x:c>
      <x:c r="H34" t="n">
        <x:f>IF(AND('Execuções'!B34&lt;&gt;"",'Execuções'!C34&lt;&gt;"",ISNUMBER('Execuções'!K34),COUNTIF('Execuções'!$AC$3:$AC$7,'Execuções'!D34)=1,COUNTIFS('Execuções'!$B$9:$B$158,'Execuções'!B34,'Execuções'!$C$9:$C$158,'Execuções'!C34,'Execuções'!$D$9:$D$158,'Execuções'!D34)=1),1,0)</x:f>
        <x:v>0</x:v>
      </x:c>
      <x:c r="I34" t="str">
        <x:f>IF($H34=1,LEFT('Execuções'!E34,FIND(";",'Execuções'!E34&amp;";")-1),"")</x:f>
      </x:c>
      <x:c r="J34" t="str">
        <x:f>IF($H34=1,TRIM(MID('Execuções'!E34,LEN(I34)+2,LEN('Execuções'!E34))),"")</x:f>
      </x:c>
      <x:c r="K34" t="str">
        <x:f>LEFT(J34,FIND(";",J34&amp;";")-1)</x:f>
      </x:c>
      <x:c r="L34" t="str">
        <x:f>IF(LEN(J34)&gt;LEN(K34),TRIM(MID(J34,LEN(K34)+2,LEN(J34))),"")</x:f>
      </x:c>
    </x:row>
    <x:row r="35" ht="44" customHeight="1">
      <x:c r="A35" s="90" t="str">
        <x:v>M2 — Qwen3.6-27B-GGUF</x:v>
      </x:c>
      <x:c r="B35" s="90" t="str">
        <x:v>C2-A-02</x:v>
      </x:c>
      <x:c r="C35" s="91" t="str">
        <x:v>Acoplamento a implementações concretas</x:v>
      </x:c>
      <x:c r="D35" s="98" t="n">
        <x:f>SUM(COUNTIFS('Execuções'!$B$9:$B$158,$A35,'Execuções'!$C$9:$C$158,LEFT($B35,4),$I$9:$I$158,$B35),COUNTIFS('Execuções'!$B$9:$B$158,$A35,'Execuções'!$C$9:$C$158,LEFT($B35,4),$K$9:$K$158,$B35),COUNTIFS('Execuções'!$B$9:$B$158,$A35,'Execuções'!$C$9:$C$158,LEFT($B35,4),$L$9:$L$158,$B35))</x:f>
        <x:v>0</x:v>
      </x:c>
      <x:c r="E35" s="98" t="n">
        <x:f>SUMIFS($H$9:$H$158,'Execuções'!$B$9:$B$158,$A35,'Execuções'!$C$9:$C$158,LEFT($B35,4))</x:f>
        <x:v>0</x:v>
      </x:c>
      <x:c r="F35" s="99" t="str">
        <x:f>IF(E35=0,"",D35/E35)</x:f>
      </x:c>
      <x:c r="H35" t="n">
        <x:f>IF(AND('Execuções'!B35&lt;&gt;"",'Execuções'!C35&lt;&gt;"",ISNUMBER('Execuções'!K35),COUNTIF('Execuções'!$AC$3:$AC$7,'Execuções'!D35)=1,COUNTIFS('Execuções'!$B$9:$B$158,'Execuções'!B35,'Execuções'!$C$9:$C$158,'Execuções'!C35,'Execuções'!$D$9:$D$158,'Execuções'!D35)=1),1,0)</x:f>
        <x:v>0</x:v>
      </x:c>
      <x:c r="I35" t="str">
        <x:f>IF($H35=1,LEFT('Execuções'!E35,FIND(";",'Execuções'!E35&amp;";")-1),"")</x:f>
      </x:c>
      <x:c r="J35" t="str">
        <x:f>IF($H35=1,TRIM(MID('Execuções'!E35,LEN(I35)+2,LEN('Execuções'!E35))),"")</x:f>
      </x:c>
      <x:c r="K35" t="str">
        <x:f>LEFT(J35,FIND(";",J35&amp;";")-1)</x:f>
      </x:c>
      <x:c r="L35" t="str">
        <x:f>IF(LEN(J35)&gt;LEN(K35),TRIM(MID(J35,LEN(K35)+2,LEN(J35))),"")</x:f>
      </x:c>
    </x:row>
    <x:row r="36" ht="44" customHeight="1">
      <x:c r="A36" s="90" t="str">
        <x:v>M3 — GPT-5.6 Luna</x:v>
      </x:c>
      <x:c r="B36" s="90" t="str">
        <x:v>C2-A-02</x:v>
      </x:c>
      <x:c r="C36" s="91" t="str">
        <x:v>Acoplamento a implementações concretas</x:v>
      </x:c>
      <x:c r="D36" s="98" t="n">
        <x:f>SUM(COUNTIFS('Execuções'!$B$9:$B$158,$A36,'Execuções'!$C$9:$C$158,LEFT($B36,4),$I$9:$I$158,$B36),COUNTIFS('Execuções'!$B$9:$B$158,$A36,'Execuções'!$C$9:$C$158,LEFT($B36,4),$K$9:$K$158,$B36),COUNTIFS('Execuções'!$B$9:$B$158,$A36,'Execuções'!$C$9:$C$158,LEFT($B36,4),$L$9:$L$158,$B36))</x:f>
        <x:v>0</x:v>
      </x:c>
      <x:c r="E36" s="98" t="n">
        <x:f>SUMIFS($H$9:$H$158,'Execuções'!$B$9:$B$158,$A36,'Execuções'!$C$9:$C$158,LEFT($B36,4))</x:f>
        <x:v>0</x:v>
      </x:c>
      <x:c r="F36" s="99" t="str">
        <x:f>IF(E36=0,"",D36/E36)</x:f>
      </x:c>
      <x:c r="H36" t="n">
        <x:f>IF(AND('Execuções'!B36&lt;&gt;"",'Execuções'!C36&lt;&gt;"",ISNUMBER('Execuções'!K36),COUNTIF('Execuções'!$AC$3:$AC$7,'Execuções'!D36)=1,COUNTIFS('Execuções'!$B$9:$B$158,'Execuções'!B36,'Execuções'!$C$9:$C$158,'Execuções'!C36,'Execuções'!$D$9:$D$158,'Execuções'!D36)=1),1,0)</x:f>
        <x:v>0</x:v>
      </x:c>
      <x:c r="I36" t="str">
        <x:f>IF($H36=1,LEFT('Execuções'!E36,FIND(";",'Execuções'!E36&amp;";")-1),"")</x:f>
      </x:c>
      <x:c r="J36" t="str">
        <x:f>IF($H36=1,TRIM(MID('Execuções'!E36,LEN(I36)+2,LEN('Execuções'!E36))),"")</x:f>
      </x:c>
      <x:c r="K36" t="str">
        <x:f>LEFT(J36,FIND(";",J36&amp;";")-1)</x:f>
      </x:c>
      <x:c r="L36" t="str">
        <x:f>IF(LEN(J36)&gt;LEN(K36),TRIM(MID(J36,LEN(K36)+2,LEN(J36))),"")</x:f>
      </x:c>
    </x:row>
    <x:row r="37" ht="44" customHeight="1">
      <x:c r="A37" s="90" t="str">
        <x:v>M1 — gemma-4-E4B-it-GGUF</x:v>
      </x:c>
      <x:c r="B37" s="90" t="str">
        <x:v>C2-B-01</x:v>
      </x:c>
      <x:c r="C37" s="91" t="str">
        <x:v>Acoplamento a implementações concretas</x:v>
      </x:c>
      <x:c r="D37" s="98" t="n">
        <x:f>SUM(COUNTIFS('Execuções'!$B$9:$B$158,$A37,'Execuções'!$C$9:$C$158,LEFT($B37,4),$I$9:$I$158,$B37),COUNTIFS('Execuções'!$B$9:$B$158,$A37,'Execuções'!$C$9:$C$158,LEFT($B37,4),$K$9:$K$158,$B37),COUNTIFS('Execuções'!$B$9:$B$158,$A37,'Execuções'!$C$9:$C$158,LEFT($B37,4),$L$9:$L$158,$B37))</x:f>
        <x:v>0</x:v>
      </x:c>
      <x:c r="E37" s="98" t="n">
        <x:f>SUMIFS($H$9:$H$158,'Execuções'!$B$9:$B$158,$A37,'Execuções'!$C$9:$C$158,LEFT($B37,4))</x:f>
        <x:v>0</x:v>
      </x:c>
      <x:c r="F37" s="99" t="str">
        <x:f>IF(E37=0,"",D37/E37)</x:f>
      </x:c>
      <x:c r="H37" t="n">
        <x:f>IF(AND('Execuções'!B37&lt;&gt;"",'Execuções'!C37&lt;&gt;"",ISNUMBER('Execuções'!K37),COUNTIF('Execuções'!$AC$3:$AC$7,'Execuções'!D37)=1,COUNTIFS('Execuções'!$B$9:$B$158,'Execuções'!B37,'Execuções'!$C$9:$C$158,'Execuções'!C37,'Execuções'!$D$9:$D$158,'Execuções'!D37)=1),1,0)</x:f>
        <x:v>0</x:v>
      </x:c>
      <x:c r="I37" t="str">
        <x:f>IF($H37=1,LEFT('Execuções'!E37,FIND(";",'Execuções'!E37&amp;";")-1),"")</x:f>
      </x:c>
      <x:c r="J37" t="str">
        <x:f>IF($H37=1,TRIM(MID('Execuções'!E37,LEN(I37)+2,LEN('Execuções'!E37))),"")</x:f>
      </x:c>
      <x:c r="K37" t="str">
        <x:f>LEFT(J37,FIND(";",J37&amp;";")-1)</x:f>
      </x:c>
      <x:c r="L37" t="str">
        <x:f>IF(LEN(J37)&gt;LEN(K37),TRIM(MID(J37,LEN(K37)+2,LEN(J37))),"")</x:f>
      </x:c>
    </x:row>
    <x:row r="38" ht="44" customHeight="1">
      <x:c r="A38" s="90" t="str">
        <x:v>M2 — Qwen3.6-27B-GGUF</x:v>
      </x:c>
      <x:c r="B38" s="90" t="str">
        <x:v>C2-B-01</x:v>
      </x:c>
      <x:c r="C38" s="91" t="str">
        <x:v>Acoplamento a implementações concretas</x:v>
      </x:c>
      <x:c r="D38" s="98" t="n">
        <x:f>SUM(COUNTIFS('Execuções'!$B$9:$B$158,$A38,'Execuções'!$C$9:$C$158,LEFT($B38,4),$I$9:$I$158,$B38),COUNTIFS('Execuções'!$B$9:$B$158,$A38,'Execuções'!$C$9:$C$158,LEFT($B38,4),$K$9:$K$158,$B38),COUNTIFS('Execuções'!$B$9:$B$158,$A38,'Execuções'!$C$9:$C$158,LEFT($B38,4),$L$9:$L$158,$B38))</x:f>
        <x:v>0</x:v>
      </x:c>
      <x:c r="E38" s="98" t="n">
        <x:f>SUMIFS($H$9:$H$158,'Execuções'!$B$9:$B$158,$A38,'Execuções'!$C$9:$C$158,LEFT($B38,4))</x:f>
        <x:v>0</x:v>
      </x:c>
      <x:c r="F38" s="99" t="str">
        <x:f>IF(E38=0,"",D38/E38)</x:f>
      </x:c>
      <x:c r="H38" t="n">
        <x:f>IF(AND('Execuções'!B38&lt;&gt;"",'Execuções'!C38&lt;&gt;"",ISNUMBER('Execuções'!K38),COUNTIF('Execuções'!$AC$3:$AC$7,'Execuções'!D38)=1,COUNTIFS('Execuções'!$B$9:$B$158,'Execuções'!B38,'Execuções'!$C$9:$C$158,'Execuções'!C38,'Execuções'!$D$9:$D$158,'Execuções'!D38)=1),1,0)</x:f>
        <x:v>0</x:v>
      </x:c>
      <x:c r="I38" t="str">
        <x:f>IF($H38=1,LEFT('Execuções'!E38,FIND(";",'Execuções'!E38&amp;";")-1),"")</x:f>
      </x:c>
      <x:c r="J38" t="str">
        <x:f>IF($H38=1,TRIM(MID('Execuções'!E38,LEN(I38)+2,LEN('Execuções'!E38))),"")</x:f>
      </x:c>
      <x:c r="K38" t="str">
        <x:f>LEFT(J38,FIND(";",J38&amp;";")-1)</x:f>
      </x:c>
      <x:c r="L38" t="str">
        <x:f>IF(LEN(J38)&gt;LEN(K38),TRIM(MID(J38,LEN(K38)+2,LEN(J38))),"")</x:f>
      </x:c>
    </x:row>
    <x:row r="39" ht="44" customHeight="1">
      <x:c r="A39" s="90" t="str">
        <x:v>M3 — GPT-5.6 Luna</x:v>
      </x:c>
      <x:c r="B39" s="90" t="str">
        <x:v>C2-B-01</x:v>
      </x:c>
      <x:c r="C39" s="91" t="str">
        <x:v>Acoplamento a implementações concretas</x:v>
      </x:c>
      <x:c r="D39" s="98" t="n">
        <x:f>SUM(COUNTIFS('Execuções'!$B$9:$B$158,$A39,'Execuções'!$C$9:$C$158,LEFT($B39,4),$I$9:$I$158,$B39),COUNTIFS('Execuções'!$B$9:$B$158,$A39,'Execuções'!$C$9:$C$158,LEFT($B39,4),$K$9:$K$158,$B39),COUNTIFS('Execuções'!$B$9:$B$158,$A39,'Execuções'!$C$9:$C$158,LEFT($B39,4),$L$9:$L$158,$B39))</x:f>
        <x:v>0</x:v>
      </x:c>
      <x:c r="E39" s="98" t="n">
        <x:f>SUMIFS($H$9:$H$158,'Execuções'!$B$9:$B$158,$A39,'Execuções'!$C$9:$C$158,LEFT($B39,4))</x:f>
        <x:v>0</x:v>
      </x:c>
      <x:c r="F39" s="99" t="str">
        <x:f>IF(E39=0,"",D39/E39)</x:f>
      </x:c>
      <x:c r="H39" t="n">
        <x:f>IF(AND('Execuções'!B39&lt;&gt;"",'Execuções'!C39&lt;&gt;"",ISNUMBER('Execuções'!K39),COUNTIF('Execuções'!$AC$3:$AC$7,'Execuções'!D39)=1,COUNTIFS('Execuções'!$B$9:$B$158,'Execuções'!B39,'Execuções'!$C$9:$C$158,'Execuções'!C39,'Execuções'!$D$9:$D$158,'Execuções'!D39)=1),1,0)</x:f>
        <x:v>0</x:v>
      </x:c>
      <x:c r="I39" t="str">
        <x:f>IF($H39=1,LEFT('Execuções'!E39,FIND(";",'Execuções'!E39&amp;";")-1),"")</x:f>
      </x:c>
      <x:c r="J39" t="str">
        <x:f>IF($H39=1,TRIM(MID('Execuções'!E39,LEN(I39)+2,LEN('Execuções'!E39))),"")</x:f>
      </x:c>
      <x:c r="K39" t="str">
        <x:f>LEFT(J39,FIND(";",J39&amp;";")-1)</x:f>
      </x:c>
      <x:c r="L39" t="str">
        <x:f>IF(LEN(J39)&gt;LEN(K39),TRIM(MID(J39,LEN(K39)+2,LEN(J39))),"")</x:f>
      </x:c>
    </x:row>
    <x:row r="40" ht="44" customHeight="1">
      <x:c r="A40" s="90" t="str">
        <x:v>M1 — gemma-4-E4B-it-GGUF</x:v>
      </x:c>
      <x:c r="B40" s="90" t="str">
        <x:v>C2-B-02</x:v>
      </x:c>
      <x:c r="C40" s="91" t="str">
        <x:v>Acoplamento a implementações concretas</x:v>
      </x:c>
      <x:c r="D40" s="98" t="n">
        <x:f>SUM(COUNTIFS('Execuções'!$B$9:$B$158,$A40,'Execuções'!$C$9:$C$158,LEFT($B40,4),$I$9:$I$158,$B40),COUNTIFS('Execuções'!$B$9:$B$158,$A40,'Execuções'!$C$9:$C$158,LEFT($B40,4),$K$9:$K$158,$B40),COUNTIFS('Execuções'!$B$9:$B$158,$A40,'Execuções'!$C$9:$C$158,LEFT($B40,4),$L$9:$L$158,$B40))</x:f>
        <x:v>0</x:v>
      </x:c>
      <x:c r="E40" s="98" t="n">
        <x:f>SUMIFS($H$9:$H$158,'Execuções'!$B$9:$B$158,$A40,'Execuções'!$C$9:$C$158,LEFT($B40,4))</x:f>
        <x:v>0</x:v>
      </x:c>
      <x:c r="F40" s="99" t="str">
        <x:f>IF(E40=0,"",D40/E40)</x:f>
      </x:c>
      <x:c r="H40" t="n">
        <x:f>IF(AND('Execuções'!B40&lt;&gt;"",'Execuções'!C40&lt;&gt;"",ISNUMBER('Execuções'!K40),COUNTIF('Execuções'!$AC$3:$AC$7,'Execuções'!D40)=1,COUNTIFS('Execuções'!$B$9:$B$158,'Execuções'!B40,'Execuções'!$C$9:$C$158,'Execuções'!C40,'Execuções'!$D$9:$D$158,'Execuções'!D40)=1),1,0)</x:f>
        <x:v>0</x:v>
      </x:c>
      <x:c r="I40" t="str">
        <x:f>IF($H40=1,LEFT('Execuções'!E40,FIND(";",'Execuções'!E40&amp;";")-1),"")</x:f>
      </x:c>
      <x:c r="J40" t="str">
        <x:f>IF($H40=1,TRIM(MID('Execuções'!E40,LEN(I40)+2,LEN('Execuções'!E40))),"")</x:f>
      </x:c>
      <x:c r="K40" t="str">
        <x:f>LEFT(J40,FIND(";",J40&amp;";")-1)</x:f>
      </x:c>
      <x:c r="L40" t="str">
        <x:f>IF(LEN(J40)&gt;LEN(K40),TRIM(MID(J40,LEN(K40)+2,LEN(J40))),"")</x:f>
      </x:c>
    </x:row>
    <x:row r="41" ht="44" customHeight="1">
      <x:c r="A41" s="90" t="str">
        <x:v>M2 — Qwen3.6-27B-GGUF</x:v>
      </x:c>
      <x:c r="B41" s="90" t="str">
        <x:v>C2-B-02</x:v>
      </x:c>
      <x:c r="C41" s="91" t="str">
        <x:v>Acoplamento a implementações concretas</x:v>
      </x:c>
      <x:c r="D41" s="98" t="n">
        <x:f>SUM(COUNTIFS('Execuções'!$B$9:$B$158,$A41,'Execuções'!$C$9:$C$158,LEFT($B41,4),$I$9:$I$158,$B41),COUNTIFS('Execuções'!$B$9:$B$158,$A41,'Execuções'!$C$9:$C$158,LEFT($B41,4),$K$9:$K$158,$B41),COUNTIFS('Execuções'!$B$9:$B$158,$A41,'Execuções'!$C$9:$C$158,LEFT($B41,4),$L$9:$L$158,$B41))</x:f>
        <x:v>0</x:v>
      </x:c>
      <x:c r="E41" s="98" t="n">
        <x:f>SUMIFS($H$9:$H$158,'Execuções'!$B$9:$B$158,$A41,'Execuções'!$C$9:$C$158,LEFT($B41,4))</x:f>
        <x:v>0</x:v>
      </x:c>
      <x:c r="F41" s="99" t="str">
        <x:f>IF(E41=0,"",D41/E41)</x:f>
      </x:c>
      <x:c r="H41" t="n">
        <x:f>IF(AND('Execuções'!B41&lt;&gt;"",'Execuções'!C41&lt;&gt;"",ISNUMBER('Execuções'!K41),COUNTIF('Execuções'!$AC$3:$AC$7,'Execuções'!D41)=1,COUNTIFS('Execuções'!$B$9:$B$158,'Execuções'!B41,'Execuções'!$C$9:$C$158,'Execuções'!C41,'Execuções'!$D$9:$D$158,'Execuções'!D41)=1),1,0)</x:f>
        <x:v>0</x:v>
      </x:c>
      <x:c r="I41" t="str">
        <x:f>IF($H41=1,LEFT('Execuções'!E41,FIND(";",'Execuções'!E41&amp;";")-1),"")</x:f>
      </x:c>
      <x:c r="J41" t="str">
        <x:f>IF($H41=1,TRIM(MID('Execuções'!E41,LEN(I41)+2,LEN('Execuções'!E41))),"")</x:f>
      </x:c>
      <x:c r="K41" t="str">
        <x:f>LEFT(J41,FIND(";",J41&amp;";")-1)</x:f>
      </x:c>
      <x:c r="L41" t="str">
        <x:f>IF(LEN(J41)&gt;LEN(K41),TRIM(MID(J41,LEN(K41)+2,LEN(J41))),"")</x:f>
      </x:c>
    </x:row>
    <x:row r="42" ht="44" customHeight="1">
      <x:c r="A42" s="90" t="str">
        <x:v>M3 — GPT-5.6 Luna</x:v>
      </x:c>
      <x:c r="B42" s="90" t="str">
        <x:v>C2-B-02</x:v>
      </x:c>
      <x:c r="C42" s="91" t="str">
        <x:v>Acoplamento a implementações concretas</x:v>
      </x:c>
      <x:c r="D42" s="98" t="n">
        <x:f>SUM(COUNTIFS('Execuções'!$B$9:$B$158,$A42,'Execuções'!$C$9:$C$158,LEFT($B42,4),$I$9:$I$158,$B42),COUNTIFS('Execuções'!$B$9:$B$158,$A42,'Execuções'!$C$9:$C$158,LEFT($B42,4),$K$9:$K$158,$B42),COUNTIFS('Execuções'!$B$9:$B$158,$A42,'Execuções'!$C$9:$C$158,LEFT($B42,4),$L$9:$L$158,$B42))</x:f>
        <x:v>0</x:v>
      </x:c>
      <x:c r="E42" s="98" t="n">
        <x:f>SUMIFS($H$9:$H$158,'Execuções'!$B$9:$B$158,$A42,'Execuções'!$C$9:$C$158,LEFT($B42,4))</x:f>
        <x:v>0</x:v>
      </x:c>
      <x:c r="F42" s="99" t="str">
        <x:f>IF(E42=0,"",D42/E42)</x:f>
      </x:c>
      <x:c r="H42" t="n">
        <x:f>IF(AND('Execuções'!B42&lt;&gt;"",'Execuções'!C42&lt;&gt;"",ISNUMBER('Execuções'!K42),COUNTIF('Execuções'!$AC$3:$AC$7,'Execuções'!D42)=1,COUNTIFS('Execuções'!$B$9:$B$158,'Execuções'!B42,'Execuções'!$C$9:$C$158,'Execuções'!C42,'Execuções'!$D$9:$D$158,'Execuções'!D42)=1),1,0)</x:f>
        <x:v>0</x:v>
      </x:c>
      <x:c r="I42" t="str">
        <x:f>IF($H42=1,LEFT('Execuções'!E42,FIND(";",'Execuções'!E42&amp;";")-1),"")</x:f>
      </x:c>
      <x:c r="J42" t="str">
        <x:f>IF($H42=1,TRIM(MID('Execuções'!E42,LEN(I42)+2,LEN('Execuções'!E42))),"")</x:f>
      </x:c>
      <x:c r="K42" t="str">
        <x:f>LEFT(J42,FIND(";",J42&amp;";")-1)</x:f>
      </x:c>
      <x:c r="L42" t="str">
        <x:f>IF(LEN(J42)&gt;LEN(K42),TRIM(MID(J42,LEN(K42)+2,LEN(J42))),"")</x:f>
      </x:c>
    </x:row>
    <x:row r="43" ht="44" customHeight="1">
      <x:c r="A43" s="90" t="str">
        <x:v>M1 — gemma-4-E4B-it-GGUF</x:v>
      </x:c>
      <x:c r="B43" s="90" t="str">
        <x:v>C3-A-01</x:v>
      </x:c>
      <x:c r="C43" s="91" t="str">
        <x:v>Encapsulamento de regras e estado</x:v>
      </x:c>
      <x:c r="D43" s="98" t="n">
        <x:f>SUM(COUNTIFS('Execuções'!$B$9:$B$158,$A43,'Execuções'!$C$9:$C$158,LEFT($B43,4),$I$9:$I$158,$B43),COUNTIFS('Execuções'!$B$9:$B$158,$A43,'Execuções'!$C$9:$C$158,LEFT($B43,4),$K$9:$K$158,$B43),COUNTIFS('Execuções'!$B$9:$B$158,$A43,'Execuções'!$C$9:$C$158,LEFT($B43,4),$L$9:$L$158,$B43))</x:f>
        <x:v>0</x:v>
      </x:c>
      <x:c r="E43" s="98" t="n">
        <x:f>SUMIFS($H$9:$H$158,'Execuções'!$B$9:$B$158,$A43,'Execuções'!$C$9:$C$158,LEFT($B43,4))</x:f>
        <x:v>0</x:v>
      </x:c>
      <x:c r="F43" s="99" t="str">
        <x:f>IF(E43=0,"",D43/E43)</x:f>
      </x:c>
      <x:c r="H43" t="n">
        <x:f>IF(AND('Execuções'!B43&lt;&gt;"",'Execuções'!C43&lt;&gt;"",ISNUMBER('Execuções'!K43),COUNTIF('Execuções'!$AC$3:$AC$7,'Execuções'!D43)=1,COUNTIFS('Execuções'!$B$9:$B$158,'Execuções'!B43,'Execuções'!$C$9:$C$158,'Execuções'!C43,'Execuções'!$D$9:$D$158,'Execuções'!D43)=1),1,0)</x:f>
        <x:v>0</x:v>
      </x:c>
      <x:c r="I43" t="str">
        <x:f>IF($H43=1,LEFT('Execuções'!E43,FIND(";",'Execuções'!E43&amp;";")-1),"")</x:f>
      </x:c>
      <x:c r="J43" t="str">
        <x:f>IF($H43=1,TRIM(MID('Execuções'!E43,LEN(I43)+2,LEN('Execuções'!E43))),"")</x:f>
      </x:c>
      <x:c r="K43" t="str">
        <x:f>LEFT(J43,FIND(";",J43&amp;";")-1)</x:f>
      </x:c>
      <x:c r="L43" t="str">
        <x:f>IF(LEN(J43)&gt;LEN(K43),TRIM(MID(J43,LEN(K43)+2,LEN(J43))),"")</x:f>
      </x:c>
    </x:row>
    <x:row r="44" ht="44" customHeight="1">
      <x:c r="A44" s="90" t="str">
        <x:v>M2 — Qwen3.6-27B-GGUF</x:v>
      </x:c>
      <x:c r="B44" s="90" t="str">
        <x:v>C3-A-01</x:v>
      </x:c>
      <x:c r="C44" s="91" t="str">
        <x:v>Encapsulamento de regras e estado</x:v>
      </x:c>
      <x:c r="D44" s="98" t="n">
        <x:f>SUM(COUNTIFS('Execuções'!$B$9:$B$158,$A44,'Execuções'!$C$9:$C$158,LEFT($B44,4),$I$9:$I$158,$B44),COUNTIFS('Execuções'!$B$9:$B$158,$A44,'Execuções'!$C$9:$C$158,LEFT($B44,4),$K$9:$K$158,$B44),COUNTIFS('Execuções'!$B$9:$B$158,$A44,'Execuções'!$C$9:$C$158,LEFT($B44,4),$L$9:$L$158,$B44))</x:f>
        <x:v>0</x:v>
      </x:c>
      <x:c r="E44" s="98" t="n">
        <x:f>SUMIFS($H$9:$H$158,'Execuções'!$B$9:$B$158,$A44,'Execuções'!$C$9:$C$158,LEFT($B44,4))</x:f>
        <x:v>0</x:v>
      </x:c>
      <x:c r="F44" s="99" t="str">
        <x:f>IF(E44=0,"",D44/E44)</x:f>
      </x:c>
      <x:c r="H44" t="n">
        <x:f>IF(AND('Execuções'!B44&lt;&gt;"",'Execuções'!C44&lt;&gt;"",ISNUMBER('Execuções'!K44),COUNTIF('Execuções'!$AC$3:$AC$7,'Execuções'!D44)=1,COUNTIFS('Execuções'!$B$9:$B$158,'Execuções'!B44,'Execuções'!$C$9:$C$158,'Execuções'!C44,'Execuções'!$D$9:$D$158,'Execuções'!D44)=1),1,0)</x:f>
        <x:v>0</x:v>
      </x:c>
      <x:c r="I44" t="str">
        <x:f>IF($H44=1,LEFT('Execuções'!E44,FIND(";",'Execuções'!E44&amp;";")-1),"")</x:f>
      </x:c>
      <x:c r="J44" t="str">
        <x:f>IF($H44=1,TRIM(MID('Execuções'!E44,LEN(I44)+2,LEN('Execuções'!E44))),"")</x:f>
      </x:c>
      <x:c r="K44" t="str">
        <x:f>LEFT(J44,FIND(";",J44&amp;";")-1)</x:f>
      </x:c>
      <x:c r="L44" t="str">
        <x:f>IF(LEN(J44)&gt;LEN(K44),TRIM(MID(J44,LEN(K44)+2,LEN(J44))),"")</x:f>
      </x:c>
    </x:row>
    <x:row r="45" ht="44" customHeight="1">
      <x:c r="A45" s="90" t="str">
        <x:v>M3 — GPT-5.6 Luna</x:v>
      </x:c>
      <x:c r="B45" s="90" t="str">
        <x:v>C3-A-01</x:v>
      </x:c>
      <x:c r="C45" s="91" t="str">
        <x:v>Encapsulamento de regras e estado</x:v>
      </x:c>
      <x:c r="D45" s="98" t="n">
        <x:f>SUM(COUNTIFS('Execuções'!$B$9:$B$158,$A45,'Execuções'!$C$9:$C$158,LEFT($B45,4),$I$9:$I$158,$B45),COUNTIFS('Execuções'!$B$9:$B$158,$A45,'Execuções'!$C$9:$C$158,LEFT($B45,4),$K$9:$K$158,$B45),COUNTIFS('Execuções'!$B$9:$B$158,$A45,'Execuções'!$C$9:$C$158,LEFT($B45,4),$L$9:$L$158,$B45))</x:f>
        <x:v>0</x:v>
      </x:c>
      <x:c r="E45" s="98" t="n">
        <x:f>SUMIFS($H$9:$H$158,'Execuções'!$B$9:$B$158,$A45,'Execuções'!$C$9:$C$158,LEFT($B45,4))</x:f>
        <x:v>0</x:v>
      </x:c>
      <x:c r="F45" s="99" t="str">
        <x:f>IF(E45=0,"",D45/E45)</x:f>
      </x:c>
      <x:c r="H45" t="n">
        <x:f>IF(AND('Execuções'!B45&lt;&gt;"",'Execuções'!C45&lt;&gt;"",ISNUMBER('Execuções'!K45),COUNTIF('Execuções'!$AC$3:$AC$7,'Execuções'!D45)=1,COUNTIFS('Execuções'!$B$9:$B$158,'Execuções'!B45,'Execuções'!$C$9:$C$158,'Execuções'!C45,'Execuções'!$D$9:$D$158,'Execuções'!D45)=1),1,0)</x:f>
        <x:v>0</x:v>
      </x:c>
      <x:c r="I45" t="str">
        <x:f>IF($H45=1,LEFT('Execuções'!E45,FIND(";",'Execuções'!E45&amp;";")-1),"")</x:f>
      </x:c>
      <x:c r="J45" t="str">
        <x:f>IF($H45=1,TRIM(MID('Execuções'!E45,LEN(I45)+2,LEN('Execuções'!E45))),"")</x:f>
      </x:c>
      <x:c r="K45" t="str">
        <x:f>LEFT(J45,FIND(";",J45&amp;";")-1)</x:f>
      </x:c>
      <x:c r="L45" t="str">
        <x:f>IF(LEN(J45)&gt;LEN(K45),TRIM(MID(J45,LEN(K45)+2,LEN(J45))),"")</x:f>
      </x:c>
    </x:row>
    <x:row r="46" ht="44" customHeight="1">
      <x:c r="A46" s="90" t="str">
        <x:v>M1 — gemma-4-E4B-it-GGUF</x:v>
      </x:c>
      <x:c r="B46" s="90" t="str">
        <x:v>C3-A-02</x:v>
      </x:c>
      <x:c r="C46" s="91" t="str">
        <x:v>Encapsulamento de regras e estado</x:v>
      </x:c>
      <x:c r="D46" s="98" t="n">
        <x:f>SUM(COUNTIFS('Execuções'!$B$9:$B$158,$A46,'Execuções'!$C$9:$C$158,LEFT($B46,4),$I$9:$I$158,$B46),COUNTIFS('Execuções'!$B$9:$B$158,$A46,'Execuções'!$C$9:$C$158,LEFT($B46,4),$K$9:$K$158,$B46),COUNTIFS('Execuções'!$B$9:$B$158,$A46,'Execuções'!$C$9:$C$158,LEFT($B46,4),$L$9:$L$158,$B46))</x:f>
        <x:v>0</x:v>
      </x:c>
      <x:c r="E46" s="98" t="n">
        <x:f>SUMIFS($H$9:$H$158,'Execuções'!$B$9:$B$158,$A46,'Execuções'!$C$9:$C$158,LEFT($B46,4))</x:f>
        <x:v>0</x:v>
      </x:c>
      <x:c r="F46" s="99" t="str">
        <x:f>IF(E46=0,"",D46/E46)</x:f>
      </x:c>
      <x:c r="H46" t="n">
        <x:f>IF(AND('Execuções'!B46&lt;&gt;"",'Execuções'!C46&lt;&gt;"",ISNUMBER('Execuções'!K46),COUNTIF('Execuções'!$AC$3:$AC$7,'Execuções'!D46)=1,COUNTIFS('Execuções'!$B$9:$B$158,'Execuções'!B46,'Execuções'!$C$9:$C$158,'Execuções'!C46,'Execuções'!$D$9:$D$158,'Execuções'!D46)=1),1,0)</x:f>
        <x:v>0</x:v>
      </x:c>
      <x:c r="I46" t="str">
        <x:f>IF($H46=1,LEFT('Execuções'!E46,FIND(";",'Execuções'!E46&amp;";")-1),"")</x:f>
      </x:c>
      <x:c r="J46" t="str">
        <x:f>IF($H46=1,TRIM(MID('Execuções'!E46,LEN(I46)+2,LEN('Execuções'!E46))),"")</x:f>
      </x:c>
      <x:c r="K46" t="str">
        <x:f>LEFT(J46,FIND(";",J46&amp;";")-1)</x:f>
      </x:c>
      <x:c r="L46" t="str">
        <x:f>IF(LEN(J46)&gt;LEN(K46),TRIM(MID(J46,LEN(K46)+2,LEN(J46))),"")</x:f>
      </x:c>
    </x:row>
    <x:row r="47" ht="44" customHeight="1">
      <x:c r="A47" s="90" t="str">
        <x:v>M2 — Qwen3.6-27B-GGUF</x:v>
      </x:c>
      <x:c r="B47" s="90" t="str">
        <x:v>C3-A-02</x:v>
      </x:c>
      <x:c r="C47" s="91" t="str">
        <x:v>Encapsulamento de regras e estado</x:v>
      </x:c>
      <x:c r="D47" s="98" t="n">
        <x:f>SUM(COUNTIFS('Execuções'!$B$9:$B$158,$A47,'Execuções'!$C$9:$C$158,LEFT($B47,4),$I$9:$I$158,$B47),COUNTIFS('Execuções'!$B$9:$B$158,$A47,'Execuções'!$C$9:$C$158,LEFT($B47,4),$K$9:$K$158,$B47),COUNTIFS('Execuções'!$B$9:$B$158,$A47,'Execuções'!$C$9:$C$158,LEFT($B47,4),$L$9:$L$158,$B47))</x:f>
        <x:v>0</x:v>
      </x:c>
      <x:c r="E47" s="98" t="n">
        <x:f>SUMIFS($H$9:$H$158,'Execuções'!$B$9:$B$158,$A47,'Execuções'!$C$9:$C$158,LEFT($B47,4))</x:f>
        <x:v>0</x:v>
      </x:c>
      <x:c r="F47" s="99" t="str">
        <x:f>IF(E47=0,"",D47/E47)</x:f>
      </x:c>
      <x:c r="H47" t="n">
        <x:f>IF(AND('Execuções'!B47&lt;&gt;"",'Execuções'!C47&lt;&gt;"",ISNUMBER('Execuções'!K47),COUNTIF('Execuções'!$AC$3:$AC$7,'Execuções'!D47)=1,COUNTIFS('Execuções'!$B$9:$B$158,'Execuções'!B47,'Execuções'!$C$9:$C$158,'Execuções'!C47,'Execuções'!$D$9:$D$158,'Execuções'!D47)=1),1,0)</x:f>
        <x:v>0</x:v>
      </x:c>
      <x:c r="I47" t="str">
        <x:f>IF($H47=1,LEFT('Execuções'!E47,FIND(";",'Execuções'!E47&amp;";")-1),"")</x:f>
      </x:c>
      <x:c r="J47" t="str">
        <x:f>IF($H47=1,TRIM(MID('Execuções'!E47,LEN(I47)+2,LEN('Execuções'!E47))),"")</x:f>
      </x:c>
      <x:c r="K47" t="str">
        <x:f>LEFT(J47,FIND(";",J47&amp;";")-1)</x:f>
      </x:c>
      <x:c r="L47" t="str">
        <x:f>IF(LEN(J47)&gt;LEN(K47),TRIM(MID(J47,LEN(K47)+2,LEN(J47))),"")</x:f>
      </x:c>
    </x:row>
    <x:row r="48" ht="44" customHeight="1">
      <x:c r="A48" s="90" t="str">
        <x:v>M3 — GPT-5.6 Luna</x:v>
      </x:c>
      <x:c r="B48" s="90" t="str">
        <x:v>C3-A-02</x:v>
      </x:c>
      <x:c r="C48" s="91" t="str">
        <x:v>Encapsulamento de regras e estado</x:v>
      </x:c>
      <x:c r="D48" s="98" t="n">
        <x:f>SUM(COUNTIFS('Execuções'!$B$9:$B$158,$A48,'Execuções'!$C$9:$C$158,LEFT($B48,4),$I$9:$I$158,$B48),COUNTIFS('Execuções'!$B$9:$B$158,$A48,'Execuções'!$C$9:$C$158,LEFT($B48,4),$K$9:$K$158,$B48),COUNTIFS('Execuções'!$B$9:$B$158,$A48,'Execuções'!$C$9:$C$158,LEFT($B48,4),$L$9:$L$158,$B48))</x:f>
        <x:v>0</x:v>
      </x:c>
      <x:c r="E48" s="98" t="n">
        <x:f>SUMIFS($H$9:$H$158,'Execuções'!$B$9:$B$158,$A48,'Execuções'!$C$9:$C$158,LEFT($B48,4))</x:f>
        <x:v>0</x:v>
      </x:c>
      <x:c r="F48" s="99" t="str">
        <x:f>IF(E48=0,"",D48/E48)</x:f>
      </x:c>
      <x:c r="H48" t="n">
        <x:f>IF(AND('Execuções'!B48&lt;&gt;"",'Execuções'!C48&lt;&gt;"",ISNUMBER('Execuções'!K48),COUNTIF('Execuções'!$AC$3:$AC$7,'Execuções'!D48)=1,COUNTIFS('Execuções'!$B$9:$B$158,'Execuções'!B48,'Execuções'!$C$9:$C$158,'Execuções'!C48,'Execuções'!$D$9:$D$158,'Execuções'!D48)=1),1,0)</x:f>
        <x:v>0</x:v>
      </x:c>
      <x:c r="I48" t="str">
        <x:f>IF($H48=1,LEFT('Execuções'!E48,FIND(";",'Execuções'!E48&amp;";")-1),"")</x:f>
      </x:c>
      <x:c r="J48" t="str">
        <x:f>IF($H48=1,TRIM(MID('Execuções'!E48,LEN(I48)+2,LEN('Execuções'!E48))),"")</x:f>
      </x:c>
      <x:c r="K48" t="str">
        <x:f>LEFT(J48,FIND(";",J48&amp;";")-1)</x:f>
      </x:c>
      <x:c r="L48" t="str">
        <x:f>IF(LEN(J48)&gt;LEN(K48),TRIM(MID(J48,LEN(K48)+2,LEN(J48))),"")</x:f>
      </x:c>
    </x:row>
    <x:row r="49" ht="44" customHeight="1">
      <x:c r="A49" s="90" t="str">
        <x:v>M1 — gemma-4-E4B-it-GGUF</x:v>
      </x:c>
      <x:c r="B49" s="90" t="str">
        <x:v>C3-A-03</x:v>
      </x:c>
      <x:c r="C49" s="91" t="str">
        <x:v>Encapsulamento de regras e estado</x:v>
      </x:c>
      <x:c r="D49" s="98" t="n">
        <x:f>SUM(COUNTIFS('Execuções'!$B$9:$B$158,$A49,'Execuções'!$C$9:$C$158,LEFT($B49,4),$I$9:$I$158,$B49),COUNTIFS('Execuções'!$B$9:$B$158,$A49,'Execuções'!$C$9:$C$158,LEFT($B49,4),$K$9:$K$158,$B49),COUNTIFS('Execuções'!$B$9:$B$158,$A49,'Execuções'!$C$9:$C$158,LEFT($B49,4),$L$9:$L$158,$B49))</x:f>
        <x:v>0</x:v>
      </x:c>
      <x:c r="E49" s="98" t="n">
        <x:f>SUMIFS($H$9:$H$158,'Execuções'!$B$9:$B$158,$A49,'Execuções'!$C$9:$C$158,LEFT($B49,4))</x:f>
        <x:v>0</x:v>
      </x:c>
      <x:c r="F49" s="99" t="str">
        <x:f>IF(E49=0,"",D49/E49)</x:f>
      </x:c>
      <x:c r="H49" t="n">
        <x:f>IF(AND('Execuções'!B49&lt;&gt;"",'Execuções'!C49&lt;&gt;"",ISNUMBER('Execuções'!K49),COUNTIF('Execuções'!$AC$3:$AC$7,'Execuções'!D49)=1,COUNTIFS('Execuções'!$B$9:$B$158,'Execuções'!B49,'Execuções'!$C$9:$C$158,'Execuções'!C49,'Execuções'!$D$9:$D$158,'Execuções'!D49)=1),1,0)</x:f>
        <x:v>0</x:v>
      </x:c>
      <x:c r="I49" t="str">
        <x:f>IF($H49=1,LEFT('Execuções'!E49,FIND(";",'Execuções'!E49&amp;";")-1),"")</x:f>
      </x:c>
      <x:c r="J49" t="str">
        <x:f>IF($H49=1,TRIM(MID('Execuções'!E49,LEN(I49)+2,LEN('Execuções'!E49))),"")</x:f>
      </x:c>
      <x:c r="K49" t="str">
        <x:f>LEFT(J49,FIND(";",J49&amp;";")-1)</x:f>
      </x:c>
      <x:c r="L49" t="str">
        <x:f>IF(LEN(J49)&gt;LEN(K49),TRIM(MID(J49,LEN(K49)+2,LEN(J49))),"")</x:f>
      </x:c>
    </x:row>
    <x:row r="50" ht="44" customHeight="1">
      <x:c r="A50" s="90" t="str">
        <x:v>M2 — Qwen3.6-27B-GGUF</x:v>
      </x:c>
      <x:c r="B50" s="90" t="str">
        <x:v>C3-A-03</x:v>
      </x:c>
      <x:c r="C50" s="91" t="str">
        <x:v>Encapsulamento de regras e estado</x:v>
      </x:c>
      <x:c r="D50" s="98" t="n">
        <x:f>SUM(COUNTIFS('Execuções'!$B$9:$B$158,$A50,'Execuções'!$C$9:$C$158,LEFT($B50,4),$I$9:$I$158,$B50),COUNTIFS('Execuções'!$B$9:$B$158,$A50,'Execuções'!$C$9:$C$158,LEFT($B50,4),$K$9:$K$158,$B50),COUNTIFS('Execuções'!$B$9:$B$158,$A50,'Execuções'!$C$9:$C$158,LEFT($B50,4),$L$9:$L$158,$B50))</x:f>
        <x:v>0</x:v>
      </x:c>
      <x:c r="E50" s="98" t="n">
        <x:f>SUMIFS($H$9:$H$158,'Execuções'!$B$9:$B$158,$A50,'Execuções'!$C$9:$C$158,LEFT($B50,4))</x:f>
        <x:v>0</x:v>
      </x:c>
      <x:c r="F50" s="99" t="str">
        <x:f>IF(E50=0,"",D50/E50)</x:f>
      </x:c>
      <x:c r="H50" t="n">
        <x:f>IF(AND('Execuções'!B50&lt;&gt;"",'Execuções'!C50&lt;&gt;"",ISNUMBER('Execuções'!K50),COUNTIF('Execuções'!$AC$3:$AC$7,'Execuções'!D50)=1,COUNTIFS('Execuções'!$B$9:$B$158,'Execuções'!B50,'Execuções'!$C$9:$C$158,'Execuções'!C50,'Execuções'!$D$9:$D$158,'Execuções'!D50)=1),1,0)</x:f>
        <x:v>0</x:v>
      </x:c>
      <x:c r="I50" t="str">
        <x:f>IF($H50=1,LEFT('Execuções'!E50,FIND(";",'Execuções'!E50&amp;";")-1),"")</x:f>
      </x:c>
      <x:c r="J50" t="str">
        <x:f>IF($H50=1,TRIM(MID('Execuções'!E50,LEN(I50)+2,LEN('Execuções'!E50))),"")</x:f>
      </x:c>
      <x:c r="K50" t="str">
        <x:f>LEFT(J50,FIND(";",J50&amp;";")-1)</x:f>
      </x:c>
      <x:c r="L50" t="str">
        <x:f>IF(LEN(J50)&gt;LEN(K50),TRIM(MID(J50,LEN(K50)+2,LEN(J50))),"")</x:f>
      </x:c>
    </x:row>
    <x:row r="51" ht="44" customHeight="1">
      <x:c r="A51" s="90" t="str">
        <x:v>M3 — GPT-5.6 Luna</x:v>
      </x:c>
      <x:c r="B51" s="90" t="str">
        <x:v>C3-A-03</x:v>
      </x:c>
      <x:c r="C51" s="91" t="str">
        <x:v>Encapsulamento de regras e estado</x:v>
      </x:c>
      <x:c r="D51" s="98" t="n">
        <x:f>SUM(COUNTIFS('Execuções'!$B$9:$B$158,$A51,'Execuções'!$C$9:$C$158,LEFT($B51,4),$I$9:$I$158,$B51),COUNTIFS('Execuções'!$B$9:$B$158,$A51,'Execuções'!$C$9:$C$158,LEFT($B51,4),$K$9:$K$158,$B51),COUNTIFS('Execuções'!$B$9:$B$158,$A51,'Execuções'!$C$9:$C$158,LEFT($B51,4),$L$9:$L$158,$B51))</x:f>
        <x:v>0</x:v>
      </x:c>
      <x:c r="E51" s="98" t="n">
        <x:f>SUMIFS($H$9:$H$158,'Execuções'!$B$9:$B$158,$A51,'Execuções'!$C$9:$C$158,LEFT($B51,4))</x:f>
        <x:v>0</x:v>
      </x:c>
      <x:c r="F51" s="99" t="str">
        <x:f>IF(E51=0,"",D51/E51)</x:f>
      </x:c>
      <x:c r="H51" t="n">
        <x:f>IF(AND('Execuções'!B51&lt;&gt;"",'Execuções'!C51&lt;&gt;"",ISNUMBER('Execuções'!K51),COUNTIF('Execuções'!$AC$3:$AC$7,'Execuções'!D51)=1,COUNTIFS('Execuções'!$B$9:$B$158,'Execuções'!B51,'Execuções'!$C$9:$C$158,'Execuções'!C51,'Execuções'!$D$9:$D$158,'Execuções'!D51)=1),1,0)</x:f>
        <x:v>0</x:v>
      </x:c>
      <x:c r="I51" t="str">
        <x:f>IF($H51=1,LEFT('Execuções'!E51,FIND(";",'Execuções'!E51&amp;";")-1),"")</x:f>
      </x:c>
      <x:c r="J51" t="str">
        <x:f>IF($H51=1,TRIM(MID('Execuções'!E51,LEN(I51)+2,LEN('Execuções'!E51))),"")</x:f>
      </x:c>
      <x:c r="K51" t="str">
        <x:f>LEFT(J51,FIND(";",J51&amp;";")-1)</x:f>
      </x:c>
      <x:c r="L51" t="str">
        <x:f>IF(LEN(J51)&gt;LEN(K51),TRIM(MID(J51,LEN(K51)+2,LEN(J51))),"")</x:f>
      </x:c>
    </x:row>
    <x:row r="52" ht="44" customHeight="1">
      <x:c r="A52" s="90" t="str">
        <x:v>M1 — gemma-4-E4B-it-GGUF</x:v>
      </x:c>
      <x:c r="B52" s="90" t="str">
        <x:v>C3-B-01</x:v>
      </x:c>
      <x:c r="C52" s="91" t="str">
        <x:v>Encapsulamento de regras e estado</x:v>
      </x:c>
      <x:c r="D52" s="98" t="n">
        <x:f>SUM(COUNTIFS('Execuções'!$B$9:$B$158,$A52,'Execuções'!$C$9:$C$158,LEFT($B52,4),$I$9:$I$158,$B52),COUNTIFS('Execuções'!$B$9:$B$158,$A52,'Execuções'!$C$9:$C$158,LEFT($B52,4),$K$9:$K$158,$B52),COUNTIFS('Execuções'!$B$9:$B$158,$A52,'Execuções'!$C$9:$C$158,LEFT($B52,4),$L$9:$L$158,$B52))</x:f>
        <x:v>0</x:v>
      </x:c>
      <x:c r="E52" s="98" t="n">
        <x:f>SUMIFS($H$9:$H$158,'Execuções'!$B$9:$B$158,$A52,'Execuções'!$C$9:$C$158,LEFT($B52,4))</x:f>
        <x:v>0</x:v>
      </x:c>
      <x:c r="F52" s="99" t="str">
        <x:f>IF(E52=0,"",D52/E52)</x:f>
      </x:c>
      <x:c r="H52" t="n">
        <x:f>IF(AND('Execuções'!B52&lt;&gt;"",'Execuções'!C52&lt;&gt;"",ISNUMBER('Execuções'!K52),COUNTIF('Execuções'!$AC$3:$AC$7,'Execuções'!D52)=1,COUNTIFS('Execuções'!$B$9:$B$158,'Execuções'!B52,'Execuções'!$C$9:$C$158,'Execuções'!C52,'Execuções'!$D$9:$D$158,'Execuções'!D52)=1),1,0)</x:f>
        <x:v>0</x:v>
      </x:c>
      <x:c r="I52" t="str">
        <x:f>IF($H52=1,LEFT('Execuções'!E52,FIND(";",'Execuções'!E52&amp;";")-1),"")</x:f>
      </x:c>
      <x:c r="J52" t="str">
        <x:f>IF($H52=1,TRIM(MID('Execuções'!E52,LEN(I52)+2,LEN('Execuções'!E52))),"")</x:f>
      </x:c>
      <x:c r="K52" t="str">
        <x:f>LEFT(J52,FIND(";",J52&amp;";")-1)</x:f>
      </x:c>
      <x:c r="L52" t="str">
        <x:f>IF(LEN(J52)&gt;LEN(K52),TRIM(MID(J52,LEN(K52)+2,LEN(J52))),"")</x:f>
      </x:c>
    </x:row>
    <x:row r="53" ht="44" customHeight="1">
      <x:c r="A53" s="90" t="str">
        <x:v>M2 — Qwen3.6-27B-GGUF</x:v>
      </x:c>
      <x:c r="B53" s="90" t="str">
        <x:v>C3-B-01</x:v>
      </x:c>
      <x:c r="C53" s="91" t="str">
        <x:v>Encapsulamento de regras e estado</x:v>
      </x:c>
      <x:c r="D53" s="98" t="n">
        <x:f>SUM(COUNTIFS('Execuções'!$B$9:$B$158,$A53,'Execuções'!$C$9:$C$158,LEFT($B53,4),$I$9:$I$158,$B53),COUNTIFS('Execuções'!$B$9:$B$158,$A53,'Execuções'!$C$9:$C$158,LEFT($B53,4),$K$9:$K$158,$B53),COUNTIFS('Execuções'!$B$9:$B$158,$A53,'Execuções'!$C$9:$C$158,LEFT($B53,4),$L$9:$L$158,$B53))</x:f>
        <x:v>0</x:v>
      </x:c>
      <x:c r="E53" s="98" t="n">
        <x:f>SUMIFS($H$9:$H$158,'Execuções'!$B$9:$B$158,$A53,'Execuções'!$C$9:$C$158,LEFT($B53,4))</x:f>
        <x:v>0</x:v>
      </x:c>
      <x:c r="F53" s="99" t="str">
        <x:f>IF(E53=0,"",D53/E53)</x:f>
      </x:c>
      <x:c r="H53" t="n">
        <x:f>IF(AND('Execuções'!B53&lt;&gt;"",'Execuções'!C53&lt;&gt;"",ISNUMBER('Execuções'!K53),COUNTIF('Execuções'!$AC$3:$AC$7,'Execuções'!D53)=1,COUNTIFS('Execuções'!$B$9:$B$158,'Execuções'!B53,'Execuções'!$C$9:$C$158,'Execuções'!C53,'Execuções'!$D$9:$D$158,'Execuções'!D53)=1),1,0)</x:f>
        <x:v>0</x:v>
      </x:c>
      <x:c r="I53" t="str">
        <x:f>IF($H53=1,LEFT('Execuções'!E53,FIND(";",'Execuções'!E53&amp;";")-1),"")</x:f>
      </x:c>
      <x:c r="J53" t="str">
        <x:f>IF($H53=1,TRIM(MID('Execuções'!E53,LEN(I53)+2,LEN('Execuções'!E53))),"")</x:f>
      </x:c>
      <x:c r="K53" t="str">
        <x:f>LEFT(J53,FIND(";",J53&amp;";")-1)</x:f>
      </x:c>
      <x:c r="L53" t="str">
        <x:f>IF(LEN(J53)&gt;LEN(K53),TRIM(MID(J53,LEN(K53)+2,LEN(J53))),"")</x:f>
      </x:c>
    </x:row>
    <x:row r="54" ht="44" customHeight="1">
      <x:c r="A54" s="90" t="str">
        <x:v>M3 — GPT-5.6 Luna</x:v>
      </x:c>
      <x:c r="B54" s="90" t="str">
        <x:v>C3-B-01</x:v>
      </x:c>
      <x:c r="C54" s="91" t="str">
        <x:v>Encapsulamento de regras e estado</x:v>
      </x:c>
      <x:c r="D54" s="98" t="n">
        <x:f>SUM(COUNTIFS('Execuções'!$B$9:$B$158,$A54,'Execuções'!$C$9:$C$158,LEFT($B54,4),$I$9:$I$158,$B54),COUNTIFS('Execuções'!$B$9:$B$158,$A54,'Execuções'!$C$9:$C$158,LEFT($B54,4),$K$9:$K$158,$B54),COUNTIFS('Execuções'!$B$9:$B$158,$A54,'Execuções'!$C$9:$C$158,LEFT($B54,4),$L$9:$L$158,$B54))</x:f>
        <x:v>0</x:v>
      </x:c>
      <x:c r="E54" s="98" t="n">
        <x:f>SUMIFS($H$9:$H$158,'Execuções'!$B$9:$B$158,$A54,'Execuções'!$C$9:$C$158,LEFT($B54,4))</x:f>
        <x:v>0</x:v>
      </x:c>
      <x:c r="F54" s="99" t="str">
        <x:f>IF(E54=0,"",D54/E54)</x:f>
      </x:c>
      <x:c r="H54" t="n">
        <x:f>IF(AND('Execuções'!B54&lt;&gt;"",'Execuções'!C54&lt;&gt;"",ISNUMBER('Execuções'!K54),COUNTIF('Execuções'!$AC$3:$AC$7,'Execuções'!D54)=1,COUNTIFS('Execuções'!$B$9:$B$158,'Execuções'!B54,'Execuções'!$C$9:$C$158,'Execuções'!C54,'Execuções'!$D$9:$D$158,'Execuções'!D54)=1),1,0)</x:f>
        <x:v>0</x:v>
      </x:c>
      <x:c r="I54" t="str">
        <x:f>IF($H54=1,LEFT('Execuções'!E54,FIND(";",'Execuções'!E54&amp;";")-1),"")</x:f>
      </x:c>
      <x:c r="J54" t="str">
        <x:f>IF($H54=1,TRIM(MID('Execuções'!E54,LEN(I54)+2,LEN('Execuções'!E54))),"")</x:f>
      </x:c>
      <x:c r="K54" t="str">
        <x:f>LEFT(J54,FIND(";",J54&amp;";")-1)</x:f>
      </x:c>
      <x:c r="L54" t="str">
        <x:f>IF(LEN(J54)&gt;LEN(K54),TRIM(MID(J54,LEN(K54)+2,LEN(J54))),"")</x:f>
      </x:c>
    </x:row>
    <x:row r="55" ht="44" customHeight="1">
      <x:c r="A55" s="90" t="str">
        <x:v>M1 — gemma-4-E4B-it-GGUF</x:v>
      </x:c>
      <x:c r="B55" s="90" t="str">
        <x:v>C3-B-02</x:v>
      </x:c>
      <x:c r="C55" s="91" t="str">
        <x:v>Encapsulamento de regras e estado</x:v>
      </x:c>
      <x:c r="D55" s="98" t="n">
        <x:f>SUM(COUNTIFS('Execuções'!$B$9:$B$158,$A55,'Execuções'!$C$9:$C$158,LEFT($B55,4),$I$9:$I$158,$B55),COUNTIFS('Execuções'!$B$9:$B$158,$A55,'Execuções'!$C$9:$C$158,LEFT($B55,4),$K$9:$K$158,$B55),COUNTIFS('Execuções'!$B$9:$B$158,$A55,'Execuções'!$C$9:$C$158,LEFT($B55,4),$L$9:$L$158,$B55))</x:f>
        <x:v>0</x:v>
      </x:c>
      <x:c r="E55" s="98" t="n">
        <x:f>SUMIFS($H$9:$H$158,'Execuções'!$B$9:$B$158,$A55,'Execuções'!$C$9:$C$158,LEFT($B55,4))</x:f>
        <x:v>0</x:v>
      </x:c>
      <x:c r="F55" s="99" t="str">
        <x:f>IF(E55=0,"",D55/E55)</x:f>
      </x:c>
      <x:c r="H55" t="n">
        <x:f>IF(AND('Execuções'!B55&lt;&gt;"",'Execuções'!C55&lt;&gt;"",ISNUMBER('Execuções'!K55),COUNTIF('Execuções'!$AC$3:$AC$7,'Execuções'!D55)=1,COUNTIFS('Execuções'!$B$9:$B$158,'Execuções'!B55,'Execuções'!$C$9:$C$158,'Execuções'!C55,'Execuções'!$D$9:$D$158,'Execuções'!D55)=1),1,0)</x:f>
        <x:v>0</x:v>
      </x:c>
      <x:c r="I55" t="str">
        <x:f>IF($H55=1,LEFT('Execuções'!E55,FIND(";",'Execuções'!E55&amp;";")-1),"")</x:f>
      </x:c>
      <x:c r="J55" t="str">
        <x:f>IF($H55=1,TRIM(MID('Execuções'!E55,LEN(I55)+2,LEN('Execuções'!E55))),"")</x:f>
      </x:c>
      <x:c r="K55" t="str">
        <x:f>LEFT(J55,FIND(";",J55&amp;";")-1)</x:f>
      </x:c>
      <x:c r="L55" t="str">
        <x:f>IF(LEN(J55)&gt;LEN(K55),TRIM(MID(J55,LEN(K55)+2,LEN(J55))),"")</x:f>
      </x:c>
    </x:row>
    <x:row r="56" ht="44" customHeight="1">
      <x:c r="A56" s="90" t="str">
        <x:v>M2 — Qwen3.6-27B-GGUF</x:v>
      </x:c>
      <x:c r="B56" s="90" t="str">
        <x:v>C3-B-02</x:v>
      </x:c>
      <x:c r="C56" s="91" t="str">
        <x:v>Encapsulamento de regras e estado</x:v>
      </x:c>
      <x:c r="D56" s="98" t="n">
        <x:f>SUM(COUNTIFS('Execuções'!$B$9:$B$158,$A56,'Execuções'!$C$9:$C$158,LEFT($B56,4),$I$9:$I$158,$B56),COUNTIFS('Execuções'!$B$9:$B$158,$A56,'Execuções'!$C$9:$C$158,LEFT($B56,4),$K$9:$K$158,$B56),COUNTIFS('Execuções'!$B$9:$B$158,$A56,'Execuções'!$C$9:$C$158,LEFT($B56,4),$L$9:$L$158,$B56))</x:f>
        <x:v>0</x:v>
      </x:c>
      <x:c r="E56" s="98" t="n">
        <x:f>SUMIFS($H$9:$H$158,'Execuções'!$B$9:$B$158,$A56,'Execuções'!$C$9:$C$158,LEFT($B56,4))</x:f>
        <x:v>0</x:v>
      </x:c>
      <x:c r="F56" s="99" t="str">
        <x:f>IF(E56=0,"",D56/E56)</x:f>
      </x:c>
      <x:c r="H56" t="n">
        <x:f>IF(AND('Execuções'!B56&lt;&gt;"",'Execuções'!C56&lt;&gt;"",ISNUMBER('Execuções'!K56),COUNTIF('Execuções'!$AC$3:$AC$7,'Execuções'!D56)=1,COUNTIFS('Execuções'!$B$9:$B$158,'Execuções'!B56,'Execuções'!$C$9:$C$158,'Execuções'!C56,'Execuções'!$D$9:$D$158,'Execuções'!D56)=1),1,0)</x:f>
        <x:v>0</x:v>
      </x:c>
      <x:c r="I56" t="str">
        <x:f>IF($H56=1,LEFT('Execuções'!E56,FIND(";",'Execuções'!E56&amp;";")-1),"")</x:f>
      </x:c>
      <x:c r="J56" t="str">
        <x:f>IF($H56=1,TRIM(MID('Execuções'!E56,LEN(I56)+2,LEN('Execuções'!E56))),"")</x:f>
      </x:c>
      <x:c r="K56" t="str">
        <x:f>LEFT(J56,FIND(";",J56&amp;";")-1)</x:f>
      </x:c>
      <x:c r="L56" t="str">
        <x:f>IF(LEN(J56)&gt;LEN(K56),TRIM(MID(J56,LEN(K56)+2,LEN(J56))),"")</x:f>
      </x:c>
    </x:row>
    <x:row r="57" ht="44" customHeight="1">
      <x:c r="A57" s="90" t="str">
        <x:v>M3 — GPT-5.6 Luna</x:v>
      </x:c>
      <x:c r="B57" s="90" t="str">
        <x:v>C3-B-02</x:v>
      </x:c>
      <x:c r="C57" s="91" t="str">
        <x:v>Encapsulamento de regras e estado</x:v>
      </x:c>
      <x:c r="D57" s="98" t="n">
        <x:f>SUM(COUNTIFS('Execuções'!$B$9:$B$158,$A57,'Execuções'!$C$9:$C$158,LEFT($B57,4),$I$9:$I$158,$B57),COUNTIFS('Execuções'!$B$9:$B$158,$A57,'Execuções'!$C$9:$C$158,LEFT($B57,4),$K$9:$K$158,$B57),COUNTIFS('Execuções'!$B$9:$B$158,$A57,'Execuções'!$C$9:$C$158,LEFT($B57,4),$L$9:$L$158,$B57))</x:f>
        <x:v>0</x:v>
      </x:c>
      <x:c r="E57" s="98" t="n">
        <x:f>SUMIFS($H$9:$H$158,'Execuções'!$B$9:$B$158,$A57,'Execuções'!$C$9:$C$158,LEFT($B57,4))</x:f>
        <x:v>0</x:v>
      </x:c>
      <x:c r="F57" s="99" t="str">
        <x:f>IF(E57=0,"",D57/E57)</x:f>
      </x:c>
      <x:c r="H57" t="n">
        <x:f>IF(AND('Execuções'!B57&lt;&gt;"",'Execuções'!C57&lt;&gt;"",ISNUMBER('Execuções'!K57),COUNTIF('Execuções'!$AC$3:$AC$7,'Execuções'!D57)=1,COUNTIFS('Execuções'!$B$9:$B$158,'Execuções'!B57,'Execuções'!$C$9:$C$158,'Execuções'!C57,'Execuções'!$D$9:$D$158,'Execuções'!D57)=1),1,0)</x:f>
        <x:v>0</x:v>
      </x:c>
      <x:c r="I57" t="str">
        <x:f>IF($H57=1,LEFT('Execuções'!E57,FIND(";",'Execuções'!E57&amp;";")-1),"")</x:f>
      </x:c>
      <x:c r="J57" t="str">
        <x:f>IF($H57=1,TRIM(MID('Execuções'!E57,LEN(I57)+2,LEN('Execuções'!E57))),"")</x:f>
      </x:c>
      <x:c r="K57" t="str">
        <x:f>LEFT(J57,FIND(";",J57&amp;";")-1)</x:f>
      </x:c>
      <x:c r="L57" t="str">
        <x:f>IF(LEN(J57)&gt;LEN(K57),TRIM(MID(J57,LEN(K57)+2,LEN(J57))),"")</x:f>
      </x:c>
    </x:row>
    <x:row r="58" ht="44" customHeight="1">
      <x:c r="A58" s="90" t="str">
        <x:v>M1 — gemma-4-E4B-it-GGUF</x:v>
      </x:c>
      <x:c r="B58" s="90" t="str">
        <x:v>C3-B-03</x:v>
      </x:c>
      <x:c r="C58" s="91" t="str">
        <x:v>Encapsulamento de regras e estado</x:v>
      </x:c>
      <x:c r="D58" s="98" t="n">
        <x:f>SUM(COUNTIFS('Execuções'!$B$9:$B$158,$A58,'Execuções'!$C$9:$C$158,LEFT($B58,4),$I$9:$I$158,$B58),COUNTIFS('Execuções'!$B$9:$B$158,$A58,'Execuções'!$C$9:$C$158,LEFT($B58,4),$K$9:$K$158,$B58),COUNTIFS('Execuções'!$B$9:$B$158,$A58,'Execuções'!$C$9:$C$158,LEFT($B58,4),$L$9:$L$158,$B58))</x:f>
        <x:v>0</x:v>
      </x:c>
      <x:c r="E58" s="98" t="n">
        <x:f>SUMIFS($H$9:$H$158,'Execuções'!$B$9:$B$158,$A58,'Execuções'!$C$9:$C$158,LEFT($B58,4))</x:f>
        <x:v>0</x:v>
      </x:c>
      <x:c r="F58" s="99" t="str">
        <x:f>IF(E58=0,"",D58/E58)</x:f>
      </x:c>
      <x:c r="H58" t="n">
        <x:f>IF(AND('Execuções'!B58&lt;&gt;"",'Execuções'!C58&lt;&gt;"",ISNUMBER('Execuções'!K58),COUNTIF('Execuções'!$AC$3:$AC$7,'Execuções'!D58)=1,COUNTIFS('Execuções'!$B$9:$B$158,'Execuções'!B58,'Execuções'!$C$9:$C$158,'Execuções'!C58,'Execuções'!$D$9:$D$158,'Execuções'!D58)=1),1,0)</x:f>
        <x:v>0</x:v>
      </x:c>
      <x:c r="I58" t="str">
        <x:f>IF($H58=1,LEFT('Execuções'!E58,FIND(";",'Execuções'!E58&amp;";")-1),"")</x:f>
      </x:c>
      <x:c r="J58" t="str">
        <x:f>IF($H58=1,TRIM(MID('Execuções'!E58,LEN(I58)+2,LEN('Execuções'!E58))),"")</x:f>
      </x:c>
      <x:c r="K58" t="str">
        <x:f>LEFT(J58,FIND(";",J58&amp;";")-1)</x:f>
      </x:c>
      <x:c r="L58" t="str">
        <x:f>IF(LEN(J58)&gt;LEN(K58),TRIM(MID(J58,LEN(K58)+2,LEN(J58))),"")</x:f>
      </x:c>
    </x:row>
    <x:row r="59" ht="44" customHeight="1">
      <x:c r="A59" s="90" t="str">
        <x:v>M2 — Qwen3.6-27B-GGUF</x:v>
      </x:c>
      <x:c r="B59" s="90" t="str">
        <x:v>C3-B-03</x:v>
      </x:c>
      <x:c r="C59" s="91" t="str">
        <x:v>Encapsulamento de regras e estado</x:v>
      </x:c>
      <x:c r="D59" s="98" t="n">
        <x:f>SUM(COUNTIFS('Execuções'!$B$9:$B$158,$A59,'Execuções'!$C$9:$C$158,LEFT($B59,4),$I$9:$I$158,$B59),COUNTIFS('Execuções'!$B$9:$B$158,$A59,'Execuções'!$C$9:$C$158,LEFT($B59,4),$K$9:$K$158,$B59),COUNTIFS('Execuções'!$B$9:$B$158,$A59,'Execuções'!$C$9:$C$158,LEFT($B59,4),$L$9:$L$158,$B59))</x:f>
        <x:v>0</x:v>
      </x:c>
      <x:c r="E59" s="98" t="n">
        <x:f>SUMIFS($H$9:$H$158,'Execuções'!$B$9:$B$158,$A59,'Execuções'!$C$9:$C$158,LEFT($B59,4))</x:f>
        <x:v>0</x:v>
      </x:c>
      <x:c r="F59" s="99" t="str">
        <x:f>IF(E59=0,"",D59/E59)</x:f>
      </x:c>
      <x:c r="H59" t="n">
        <x:f>IF(AND('Execuções'!B59&lt;&gt;"",'Execuções'!C59&lt;&gt;"",ISNUMBER('Execuções'!K59),COUNTIF('Execuções'!$AC$3:$AC$7,'Execuções'!D59)=1,COUNTIFS('Execuções'!$B$9:$B$158,'Execuções'!B59,'Execuções'!$C$9:$C$158,'Execuções'!C59,'Execuções'!$D$9:$D$158,'Execuções'!D59)=1),1,0)</x:f>
        <x:v>0</x:v>
      </x:c>
      <x:c r="I59" t="str">
        <x:f>IF($H59=1,LEFT('Execuções'!E59,FIND(";",'Execuções'!E59&amp;";")-1),"")</x:f>
      </x:c>
      <x:c r="J59" t="str">
        <x:f>IF($H59=1,TRIM(MID('Execuções'!E59,LEN(I59)+2,LEN('Execuções'!E59))),"")</x:f>
      </x:c>
      <x:c r="K59" t="str">
        <x:f>LEFT(J59,FIND(";",J59&amp;";")-1)</x:f>
      </x:c>
      <x:c r="L59" t="str">
        <x:f>IF(LEN(J59)&gt;LEN(K59),TRIM(MID(J59,LEN(K59)+2,LEN(J59))),"")</x:f>
      </x:c>
    </x:row>
    <x:row r="60" ht="44" customHeight="1">
      <x:c r="A60" s="90" t="str">
        <x:v>M3 — GPT-5.6 Luna</x:v>
      </x:c>
      <x:c r="B60" s="90" t="str">
        <x:v>C3-B-03</x:v>
      </x:c>
      <x:c r="C60" s="91" t="str">
        <x:v>Encapsulamento de regras e estado</x:v>
      </x:c>
      <x:c r="D60" s="98" t="n">
        <x:f>SUM(COUNTIFS('Execuções'!$B$9:$B$158,$A60,'Execuções'!$C$9:$C$158,LEFT($B60,4),$I$9:$I$158,$B60),COUNTIFS('Execuções'!$B$9:$B$158,$A60,'Execuções'!$C$9:$C$158,LEFT($B60,4),$K$9:$K$158,$B60),COUNTIFS('Execuções'!$B$9:$B$158,$A60,'Execuções'!$C$9:$C$158,LEFT($B60,4),$L$9:$L$158,$B60))</x:f>
        <x:v>0</x:v>
      </x:c>
      <x:c r="E60" s="98" t="n">
        <x:f>SUMIFS($H$9:$H$158,'Execuções'!$B$9:$B$158,$A60,'Execuções'!$C$9:$C$158,LEFT($B60,4))</x:f>
        <x:v>0</x:v>
      </x:c>
      <x:c r="F60" s="99" t="str">
        <x:f>IF(E60=0,"",D60/E60)</x:f>
      </x:c>
      <x:c r="H60" t="n">
        <x:f>IF(AND('Execuções'!B60&lt;&gt;"",'Execuções'!C60&lt;&gt;"",ISNUMBER('Execuções'!K60),COUNTIF('Execuções'!$AC$3:$AC$7,'Execuções'!D60)=1,COUNTIFS('Execuções'!$B$9:$B$158,'Execuções'!B60,'Execuções'!$C$9:$C$158,'Execuções'!C60,'Execuções'!$D$9:$D$158,'Execuções'!D60)=1),1,0)</x:f>
        <x:v>0</x:v>
      </x:c>
      <x:c r="I60" t="str">
        <x:f>IF($H60=1,LEFT('Execuções'!E60,FIND(";",'Execuções'!E60&amp;";")-1),"")</x:f>
      </x:c>
      <x:c r="J60" t="str">
        <x:f>IF($H60=1,TRIM(MID('Execuções'!E60,LEN(I60)+2,LEN('Execuções'!E60))),"")</x:f>
      </x:c>
      <x:c r="K60" t="str">
        <x:f>LEFT(J60,FIND(";",J60&amp;";")-1)</x:f>
      </x:c>
      <x:c r="L60" t="str">
        <x:f>IF(LEN(J60)&gt;LEN(K60),TRIM(MID(J60,LEN(K60)+2,LEN(J60))),"")</x:f>
      </x:c>
    </x:row>
    <x:row r="61" ht="44" customHeight="1">
      <x:c r="A61" s="90" t="str">
        <x:v>M1 — gemma-4-E4B-it-GGUF</x:v>
      </x:c>
      <x:c r="B61" s="90" t="str">
        <x:v>C4-A-01</x:v>
      </x:c>
      <x:c r="C61" s="91" t="str">
        <x:v>Dificuldade de extensão</x:v>
      </x:c>
      <x:c r="D61" s="98" t="n">
        <x:f>SUM(COUNTIFS('Execuções'!$B$9:$B$158,$A61,'Execuções'!$C$9:$C$158,LEFT($B61,4),$I$9:$I$158,$B61),COUNTIFS('Execuções'!$B$9:$B$158,$A61,'Execuções'!$C$9:$C$158,LEFT($B61,4),$K$9:$K$158,$B61),COUNTIFS('Execuções'!$B$9:$B$158,$A61,'Execuções'!$C$9:$C$158,LEFT($B61,4),$L$9:$L$158,$B61))</x:f>
        <x:v>0</x:v>
      </x:c>
      <x:c r="E61" s="98" t="n">
        <x:f>SUMIFS($H$9:$H$158,'Execuções'!$B$9:$B$158,$A61,'Execuções'!$C$9:$C$158,LEFT($B61,4))</x:f>
        <x:v>0</x:v>
      </x:c>
      <x:c r="F61" s="99" t="str">
        <x:f>IF(E61=0,"",D61/E61)</x:f>
      </x:c>
      <x:c r="H61" t="n">
        <x:f>IF(AND('Execuções'!B61&lt;&gt;"",'Execuções'!C61&lt;&gt;"",ISNUMBER('Execuções'!K61),COUNTIF('Execuções'!$AC$3:$AC$7,'Execuções'!D61)=1,COUNTIFS('Execuções'!$B$9:$B$158,'Execuções'!B61,'Execuções'!$C$9:$C$158,'Execuções'!C61,'Execuções'!$D$9:$D$158,'Execuções'!D61)=1),1,0)</x:f>
        <x:v>0</x:v>
      </x:c>
      <x:c r="I61" t="str">
        <x:f>IF($H61=1,LEFT('Execuções'!E61,FIND(";",'Execuções'!E61&amp;";")-1),"")</x:f>
      </x:c>
      <x:c r="J61" t="str">
        <x:f>IF($H61=1,TRIM(MID('Execuções'!E61,LEN(I61)+2,LEN('Execuções'!E61))),"")</x:f>
      </x:c>
      <x:c r="K61" t="str">
        <x:f>LEFT(J61,FIND(";",J61&amp;";")-1)</x:f>
      </x:c>
      <x:c r="L61" t="str">
        <x:f>IF(LEN(J61)&gt;LEN(K61),TRIM(MID(J61,LEN(K61)+2,LEN(J61))),"")</x:f>
      </x:c>
    </x:row>
    <x:row r="62" ht="44" customHeight="1">
      <x:c r="A62" s="90" t="str">
        <x:v>M2 — Qwen3.6-27B-GGUF</x:v>
      </x:c>
      <x:c r="B62" s="90" t="str">
        <x:v>C4-A-01</x:v>
      </x:c>
      <x:c r="C62" s="91" t="str">
        <x:v>Dificuldade de extensão</x:v>
      </x:c>
      <x:c r="D62" s="98" t="n">
        <x:f>SUM(COUNTIFS('Execuções'!$B$9:$B$158,$A62,'Execuções'!$C$9:$C$158,LEFT($B62,4),$I$9:$I$158,$B62),COUNTIFS('Execuções'!$B$9:$B$158,$A62,'Execuções'!$C$9:$C$158,LEFT($B62,4),$K$9:$K$158,$B62),COUNTIFS('Execuções'!$B$9:$B$158,$A62,'Execuções'!$C$9:$C$158,LEFT($B62,4),$L$9:$L$158,$B62))</x:f>
        <x:v>0</x:v>
      </x:c>
      <x:c r="E62" s="98" t="n">
        <x:f>SUMIFS($H$9:$H$158,'Execuções'!$B$9:$B$158,$A62,'Execuções'!$C$9:$C$158,LEFT($B62,4))</x:f>
        <x:v>0</x:v>
      </x:c>
      <x:c r="F62" s="99" t="str">
        <x:f>IF(E62=0,"",D62/E62)</x:f>
      </x:c>
      <x:c r="H62" t="n">
        <x:f>IF(AND('Execuções'!B62&lt;&gt;"",'Execuções'!C62&lt;&gt;"",ISNUMBER('Execuções'!K62),COUNTIF('Execuções'!$AC$3:$AC$7,'Execuções'!D62)=1,COUNTIFS('Execuções'!$B$9:$B$158,'Execuções'!B62,'Execuções'!$C$9:$C$158,'Execuções'!C62,'Execuções'!$D$9:$D$158,'Execuções'!D62)=1),1,0)</x:f>
        <x:v>0</x:v>
      </x:c>
      <x:c r="I62" t="str">
        <x:f>IF($H62=1,LEFT('Execuções'!E62,FIND(";",'Execuções'!E62&amp;";")-1),"")</x:f>
      </x:c>
      <x:c r="J62" t="str">
        <x:f>IF($H62=1,TRIM(MID('Execuções'!E62,LEN(I62)+2,LEN('Execuções'!E62))),"")</x:f>
      </x:c>
      <x:c r="K62" t="str">
        <x:f>LEFT(J62,FIND(";",J62&amp;";")-1)</x:f>
      </x:c>
      <x:c r="L62" t="str">
        <x:f>IF(LEN(J62)&gt;LEN(K62),TRIM(MID(J62,LEN(K62)+2,LEN(J62))),"")</x:f>
      </x:c>
    </x:row>
    <x:row r="63" ht="44" customHeight="1">
      <x:c r="A63" s="90" t="str">
        <x:v>M3 — GPT-5.6 Luna</x:v>
      </x:c>
      <x:c r="B63" s="90" t="str">
        <x:v>C4-A-01</x:v>
      </x:c>
      <x:c r="C63" s="91" t="str">
        <x:v>Dificuldade de extensão</x:v>
      </x:c>
      <x:c r="D63" s="98" t="n">
        <x:f>SUM(COUNTIFS('Execuções'!$B$9:$B$158,$A63,'Execuções'!$C$9:$C$158,LEFT($B63,4),$I$9:$I$158,$B63),COUNTIFS('Execuções'!$B$9:$B$158,$A63,'Execuções'!$C$9:$C$158,LEFT($B63,4),$K$9:$K$158,$B63),COUNTIFS('Execuções'!$B$9:$B$158,$A63,'Execuções'!$C$9:$C$158,LEFT($B63,4),$L$9:$L$158,$B63))</x:f>
        <x:v>0</x:v>
      </x:c>
      <x:c r="E63" s="98" t="n">
        <x:f>SUMIFS($H$9:$H$158,'Execuções'!$B$9:$B$158,$A63,'Execuções'!$C$9:$C$158,LEFT($B63,4))</x:f>
        <x:v>0</x:v>
      </x:c>
      <x:c r="F63" s="99" t="str">
        <x:f>IF(E63=0,"",D63/E63)</x:f>
      </x:c>
      <x:c r="H63" t="n">
        <x:f>IF(AND('Execuções'!B63&lt;&gt;"",'Execuções'!C63&lt;&gt;"",ISNUMBER('Execuções'!K63),COUNTIF('Execuções'!$AC$3:$AC$7,'Execuções'!D63)=1,COUNTIFS('Execuções'!$B$9:$B$158,'Execuções'!B63,'Execuções'!$C$9:$C$158,'Execuções'!C63,'Execuções'!$D$9:$D$158,'Execuções'!D63)=1),1,0)</x:f>
        <x:v>0</x:v>
      </x:c>
      <x:c r="I63" t="str">
        <x:f>IF($H63=1,LEFT('Execuções'!E63,FIND(";",'Execuções'!E63&amp;";")-1),"")</x:f>
      </x:c>
      <x:c r="J63" t="str">
        <x:f>IF($H63=1,TRIM(MID('Execuções'!E63,LEN(I63)+2,LEN('Execuções'!E63))),"")</x:f>
      </x:c>
      <x:c r="K63" t="str">
        <x:f>LEFT(J63,FIND(";",J63&amp;";")-1)</x:f>
      </x:c>
      <x:c r="L63" t="str">
        <x:f>IF(LEN(J63)&gt;LEN(K63),TRIM(MID(J63,LEN(K63)+2,LEN(J63))),"")</x:f>
      </x:c>
    </x:row>
    <x:row r="64" ht="44" customHeight="1">
      <x:c r="A64" s="90" t="str">
        <x:v>M1 — gemma-4-E4B-it-GGUF</x:v>
      </x:c>
      <x:c r="B64" s="90" t="str">
        <x:v>C4-A-02</x:v>
      </x:c>
      <x:c r="C64" s="91" t="str">
        <x:v>Dificuldade de extensão</x:v>
      </x:c>
      <x:c r="D64" s="98" t="n">
        <x:f>SUM(COUNTIFS('Execuções'!$B$9:$B$158,$A64,'Execuções'!$C$9:$C$158,LEFT($B64,4),$I$9:$I$158,$B64),COUNTIFS('Execuções'!$B$9:$B$158,$A64,'Execuções'!$C$9:$C$158,LEFT($B64,4),$K$9:$K$158,$B64),COUNTIFS('Execuções'!$B$9:$B$158,$A64,'Execuções'!$C$9:$C$158,LEFT($B64,4),$L$9:$L$158,$B64))</x:f>
        <x:v>0</x:v>
      </x:c>
      <x:c r="E64" s="98" t="n">
        <x:f>SUMIFS($H$9:$H$158,'Execuções'!$B$9:$B$158,$A64,'Execuções'!$C$9:$C$158,LEFT($B64,4))</x:f>
        <x:v>0</x:v>
      </x:c>
      <x:c r="F64" s="99" t="str">
        <x:f>IF(E64=0,"",D64/E64)</x:f>
      </x:c>
      <x:c r="H64" t="n">
        <x:f>IF(AND('Execuções'!B64&lt;&gt;"",'Execuções'!C64&lt;&gt;"",ISNUMBER('Execuções'!K64),COUNTIF('Execuções'!$AC$3:$AC$7,'Execuções'!D64)=1,COUNTIFS('Execuções'!$B$9:$B$158,'Execuções'!B64,'Execuções'!$C$9:$C$158,'Execuções'!C64,'Execuções'!$D$9:$D$158,'Execuções'!D64)=1),1,0)</x:f>
        <x:v>0</x:v>
      </x:c>
      <x:c r="I64" t="str">
        <x:f>IF($H64=1,LEFT('Execuções'!E64,FIND(";",'Execuções'!E64&amp;";")-1),"")</x:f>
      </x:c>
      <x:c r="J64" t="str">
        <x:f>IF($H64=1,TRIM(MID('Execuções'!E64,LEN(I64)+2,LEN('Execuções'!E64))),"")</x:f>
      </x:c>
      <x:c r="K64" t="str">
        <x:f>LEFT(J64,FIND(";",J64&amp;";")-1)</x:f>
      </x:c>
      <x:c r="L64" t="str">
        <x:f>IF(LEN(J64)&gt;LEN(K64),TRIM(MID(J64,LEN(K64)+2,LEN(J64))),"")</x:f>
      </x:c>
    </x:row>
    <x:row r="65" ht="44" customHeight="1">
      <x:c r="A65" s="90" t="str">
        <x:v>M2 — Qwen3.6-27B-GGUF</x:v>
      </x:c>
      <x:c r="B65" s="90" t="str">
        <x:v>C4-A-02</x:v>
      </x:c>
      <x:c r="C65" s="91" t="str">
        <x:v>Dificuldade de extensão</x:v>
      </x:c>
      <x:c r="D65" s="98" t="n">
        <x:f>SUM(COUNTIFS('Execuções'!$B$9:$B$158,$A65,'Execuções'!$C$9:$C$158,LEFT($B65,4),$I$9:$I$158,$B65),COUNTIFS('Execuções'!$B$9:$B$158,$A65,'Execuções'!$C$9:$C$158,LEFT($B65,4),$K$9:$K$158,$B65),COUNTIFS('Execuções'!$B$9:$B$158,$A65,'Execuções'!$C$9:$C$158,LEFT($B65,4),$L$9:$L$158,$B65))</x:f>
        <x:v>0</x:v>
      </x:c>
      <x:c r="E65" s="98" t="n">
        <x:f>SUMIFS($H$9:$H$158,'Execuções'!$B$9:$B$158,$A65,'Execuções'!$C$9:$C$158,LEFT($B65,4))</x:f>
        <x:v>0</x:v>
      </x:c>
      <x:c r="F65" s="99" t="str">
        <x:f>IF(E65=0,"",D65/E65)</x:f>
      </x:c>
      <x:c r="H65" t="n">
        <x:f>IF(AND('Execuções'!B65&lt;&gt;"",'Execuções'!C65&lt;&gt;"",ISNUMBER('Execuções'!K65),COUNTIF('Execuções'!$AC$3:$AC$7,'Execuções'!D65)=1,COUNTIFS('Execuções'!$B$9:$B$158,'Execuções'!B65,'Execuções'!$C$9:$C$158,'Execuções'!C65,'Execuções'!$D$9:$D$158,'Execuções'!D65)=1),1,0)</x:f>
        <x:v>0</x:v>
      </x:c>
      <x:c r="I65" t="str">
        <x:f>IF($H65=1,LEFT('Execuções'!E65,FIND(";",'Execuções'!E65&amp;";")-1),"")</x:f>
      </x:c>
      <x:c r="J65" t="str">
        <x:f>IF($H65=1,TRIM(MID('Execuções'!E65,LEN(I65)+2,LEN('Execuções'!E65))),"")</x:f>
      </x:c>
      <x:c r="K65" t="str">
        <x:f>LEFT(J65,FIND(";",J65&amp;";")-1)</x:f>
      </x:c>
      <x:c r="L65" t="str">
        <x:f>IF(LEN(J65)&gt;LEN(K65),TRIM(MID(J65,LEN(K65)+2,LEN(J65))),"")</x:f>
      </x:c>
    </x:row>
    <x:row r="66" ht="44" customHeight="1">
      <x:c r="A66" s="90" t="str">
        <x:v>M3 — GPT-5.6 Luna</x:v>
      </x:c>
      <x:c r="B66" s="90" t="str">
        <x:v>C4-A-02</x:v>
      </x:c>
      <x:c r="C66" s="91" t="str">
        <x:v>Dificuldade de extensão</x:v>
      </x:c>
      <x:c r="D66" s="98" t="n">
        <x:f>SUM(COUNTIFS('Execuções'!$B$9:$B$158,$A66,'Execuções'!$C$9:$C$158,LEFT($B66,4),$I$9:$I$158,$B66),COUNTIFS('Execuções'!$B$9:$B$158,$A66,'Execuções'!$C$9:$C$158,LEFT($B66,4),$K$9:$K$158,$B66),COUNTIFS('Execuções'!$B$9:$B$158,$A66,'Execuções'!$C$9:$C$158,LEFT($B66,4),$L$9:$L$158,$B66))</x:f>
        <x:v>0</x:v>
      </x:c>
      <x:c r="E66" s="98" t="n">
        <x:f>SUMIFS($H$9:$H$158,'Execuções'!$B$9:$B$158,$A66,'Execuções'!$C$9:$C$158,LEFT($B66,4))</x:f>
        <x:v>0</x:v>
      </x:c>
      <x:c r="F66" s="99" t="str">
        <x:f>IF(E66=0,"",D66/E66)</x:f>
      </x:c>
      <x:c r="H66" t="n">
        <x:f>IF(AND('Execuções'!B66&lt;&gt;"",'Execuções'!C66&lt;&gt;"",ISNUMBER('Execuções'!K66),COUNTIF('Execuções'!$AC$3:$AC$7,'Execuções'!D66)=1,COUNTIFS('Execuções'!$B$9:$B$158,'Execuções'!B66,'Execuções'!$C$9:$C$158,'Execuções'!C66,'Execuções'!$D$9:$D$158,'Execuções'!D66)=1),1,0)</x:f>
        <x:v>0</x:v>
      </x:c>
      <x:c r="I66" t="str">
        <x:f>IF($H66=1,LEFT('Execuções'!E66,FIND(";",'Execuções'!E66&amp;";")-1),"")</x:f>
      </x:c>
      <x:c r="J66" t="str">
        <x:f>IF($H66=1,TRIM(MID('Execuções'!E66,LEN(I66)+2,LEN('Execuções'!E66))),"")</x:f>
      </x:c>
      <x:c r="K66" t="str">
        <x:f>LEFT(J66,FIND(";",J66&amp;";")-1)</x:f>
      </x:c>
      <x:c r="L66" t="str">
        <x:f>IF(LEN(J66)&gt;LEN(K66),TRIM(MID(J66,LEN(K66)+2,LEN(J66))),"")</x:f>
      </x:c>
    </x:row>
    <x:row r="67" ht="44" customHeight="1">
      <x:c r="A67" s="90" t="str">
        <x:v>M1 — gemma-4-E4B-it-GGUF</x:v>
      </x:c>
      <x:c r="B67" s="90" t="str">
        <x:v>C4-B-01</x:v>
      </x:c>
      <x:c r="C67" s="91" t="str">
        <x:v>Dificuldade de extensão</x:v>
      </x:c>
      <x:c r="D67" s="98" t="n">
        <x:f>SUM(COUNTIFS('Execuções'!$B$9:$B$158,$A67,'Execuções'!$C$9:$C$158,LEFT($B67,4),$I$9:$I$158,$B67),COUNTIFS('Execuções'!$B$9:$B$158,$A67,'Execuções'!$C$9:$C$158,LEFT($B67,4),$K$9:$K$158,$B67),COUNTIFS('Execuções'!$B$9:$B$158,$A67,'Execuções'!$C$9:$C$158,LEFT($B67,4),$L$9:$L$158,$B67))</x:f>
        <x:v>0</x:v>
      </x:c>
      <x:c r="E67" s="98" t="n">
        <x:f>SUMIFS($H$9:$H$158,'Execuções'!$B$9:$B$158,$A67,'Execuções'!$C$9:$C$158,LEFT($B67,4))</x:f>
        <x:v>0</x:v>
      </x:c>
      <x:c r="F67" s="99" t="str">
        <x:f>IF(E67=0,"",D67/E67)</x:f>
      </x:c>
      <x:c r="H67" t="n">
        <x:f>IF(AND('Execuções'!B67&lt;&gt;"",'Execuções'!C67&lt;&gt;"",ISNUMBER('Execuções'!K67),COUNTIF('Execuções'!$AC$3:$AC$7,'Execuções'!D67)=1,COUNTIFS('Execuções'!$B$9:$B$158,'Execuções'!B67,'Execuções'!$C$9:$C$158,'Execuções'!C67,'Execuções'!$D$9:$D$158,'Execuções'!D67)=1),1,0)</x:f>
        <x:v>0</x:v>
      </x:c>
      <x:c r="I67" t="str">
        <x:f>IF($H67=1,LEFT('Execuções'!E67,FIND(";",'Execuções'!E67&amp;";")-1),"")</x:f>
      </x:c>
      <x:c r="J67" t="str">
        <x:f>IF($H67=1,TRIM(MID('Execuções'!E67,LEN(I67)+2,LEN('Execuções'!E67))),"")</x:f>
      </x:c>
      <x:c r="K67" t="str">
        <x:f>LEFT(J67,FIND(";",J67&amp;";")-1)</x:f>
      </x:c>
      <x:c r="L67" t="str">
        <x:f>IF(LEN(J67)&gt;LEN(K67),TRIM(MID(J67,LEN(K67)+2,LEN(J67))),"")</x:f>
      </x:c>
    </x:row>
    <x:row r="68" ht="44" customHeight="1">
      <x:c r="A68" s="90" t="str">
        <x:v>M2 — Qwen3.6-27B-GGUF</x:v>
      </x:c>
      <x:c r="B68" s="90" t="str">
        <x:v>C4-B-01</x:v>
      </x:c>
      <x:c r="C68" s="91" t="str">
        <x:v>Dificuldade de extensão</x:v>
      </x:c>
      <x:c r="D68" s="98" t="n">
        <x:f>SUM(COUNTIFS('Execuções'!$B$9:$B$158,$A68,'Execuções'!$C$9:$C$158,LEFT($B68,4),$I$9:$I$158,$B68),COUNTIFS('Execuções'!$B$9:$B$158,$A68,'Execuções'!$C$9:$C$158,LEFT($B68,4),$K$9:$K$158,$B68),COUNTIFS('Execuções'!$B$9:$B$158,$A68,'Execuções'!$C$9:$C$158,LEFT($B68,4),$L$9:$L$158,$B68))</x:f>
        <x:v>0</x:v>
      </x:c>
      <x:c r="E68" s="98" t="n">
        <x:f>SUMIFS($H$9:$H$158,'Execuções'!$B$9:$B$158,$A68,'Execuções'!$C$9:$C$158,LEFT($B68,4))</x:f>
        <x:v>0</x:v>
      </x:c>
      <x:c r="F68" s="99" t="str">
        <x:f>IF(E68=0,"",D68/E68)</x:f>
      </x:c>
      <x:c r="H68" t="n">
        <x:f>IF(AND('Execuções'!B68&lt;&gt;"",'Execuções'!C68&lt;&gt;"",ISNUMBER('Execuções'!K68),COUNTIF('Execuções'!$AC$3:$AC$7,'Execuções'!D68)=1,COUNTIFS('Execuções'!$B$9:$B$158,'Execuções'!B68,'Execuções'!$C$9:$C$158,'Execuções'!C68,'Execuções'!$D$9:$D$158,'Execuções'!D68)=1),1,0)</x:f>
        <x:v>0</x:v>
      </x:c>
      <x:c r="I68" t="str">
        <x:f>IF($H68=1,LEFT('Execuções'!E68,FIND(";",'Execuções'!E68&amp;";")-1),"")</x:f>
      </x:c>
      <x:c r="J68" t="str">
        <x:f>IF($H68=1,TRIM(MID('Execuções'!E68,LEN(I68)+2,LEN('Execuções'!E68))),"")</x:f>
      </x:c>
      <x:c r="K68" t="str">
        <x:f>LEFT(J68,FIND(";",J68&amp;";")-1)</x:f>
      </x:c>
      <x:c r="L68" t="str">
        <x:f>IF(LEN(J68)&gt;LEN(K68),TRIM(MID(J68,LEN(K68)+2,LEN(J68))),"")</x:f>
      </x:c>
    </x:row>
    <x:row r="69" ht="44" customHeight="1">
      <x:c r="A69" s="90" t="str">
        <x:v>M3 — GPT-5.6 Luna</x:v>
      </x:c>
      <x:c r="B69" s="90" t="str">
        <x:v>C4-B-01</x:v>
      </x:c>
      <x:c r="C69" s="91" t="str">
        <x:v>Dificuldade de extensão</x:v>
      </x:c>
      <x:c r="D69" s="98" t="n">
        <x:f>SUM(COUNTIFS('Execuções'!$B$9:$B$158,$A69,'Execuções'!$C$9:$C$158,LEFT($B69,4),$I$9:$I$158,$B69),COUNTIFS('Execuções'!$B$9:$B$158,$A69,'Execuções'!$C$9:$C$158,LEFT($B69,4),$K$9:$K$158,$B69),COUNTIFS('Execuções'!$B$9:$B$158,$A69,'Execuções'!$C$9:$C$158,LEFT($B69,4),$L$9:$L$158,$B69))</x:f>
        <x:v>0</x:v>
      </x:c>
      <x:c r="E69" s="98" t="n">
        <x:f>SUMIFS($H$9:$H$158,'Execuções'!$B$9:$B$158,$A69,'Execuções'!$C$9:$C$158,LEFT($B69,4))</x:f>
        <x:v>0</x:v>
      </x:c>
      <x:c r="F69" s="99" t="str">
        <x:f>IF(E69=0,"",D69/E69)</x:f>
      </x:c>
      <x:c r="H69" t="n">
        <x:f>IF(AND('Execuções'!B69&lt;&gt;"",'Execuções'!C69&lt;&gt;"",ISNUMBER('Execuções'!K69),COUNTIF('Execuções'!$AC$3:$AC$7,'Execuções'!D69)=1,COUNTIFS('Execuções'!$B$9:$B$158,'Execuções'!B69,'Execuções'!$C$9:$C$158,'Execuções'!C69,'Execuções'!$D$9:$D$158,'Execuções'!D69)=1),1,0)</x:f>
        <x:v>0</x:v>
      </x:c>
      <x:c r="I69" t="str">
        <x:f>IF($H69=1,LEFT('Execuções'!E69,FIND(";",'Execuções'!E69&amp;";")-1),"")</x:f>
      </x:c>
      <x:c r="J69" t="str">
        <x:f>IF($H69=1,TRIM(MID('Execuções'!E69,LEN(I69)+2,LEN('Execuções'!E69))),"")</x:f>
      </x:c>
      <x:c r="K69" t="str">
        <x:f>LEFT(J69,FIND(";",J69&amp;";")-1)</x:f>
      </x:c>
      <x:c r="L69" t="str">
        <x:f>IF(LEN(J69)&gt;LEN(K69),TRIM(MID(J69,LEN(K69)+2,LEN(J69))),"")</x:f>
      </x:c>
    </x:row>
    <x:row r="70" ht="44" customHeight="1">
      <x:c r="A70" s="90" t="str">
        <x:v>M1 — gemma-4-E4B-it-GGUF</x:v>
      </x:c>
      <x:c r="B70" s="90" t="str">
        <x:v>C4-B-02</x:v>
      </x:c>
      <x:c r="C70" s="91" t="str">
        <x:v>Dificuldade de extensão</x:v>
      </x:c>
      <x:c r="D70" s="98" t="n">
        <x:f>SUM(COUNTIFS('Execuções'!$B$9:$B$158,$A70,'Execuções'!$C$9:$C$158,LEFT($B70,4),$I$9:$I$158,$B70),COUNTIFS('Execuções'!$B$9:$B$158,$A70,'Execuções'!$C$9:$C$158,LEFT($B70,4),$K$9:$K$158,$B70),COUNTIFS('Execuções'!$B$9:$B$158,$A70,'Execuções'!$C$9:$C$158,LEFT($B70,4),$L$9:$L$158,$B70))</x:f>
        <x:v>0</x:v>
      </x:c>
      <x:c r="E70" s="98" t="n">
        <x:f>SUMIFS($H$9:$H$158,'Execuções'!$B$9:$B$158,$A70,'Execuções'!$C$9:$C$158,LEFT($B70,4))</x:f>
        <x:v>0</x:v>
      </x:c>
      <x:c r="F70" s="99" t="str">
        <x:f>IF(E70=0,"",D70/E70)</x:f>
      </x:c>
      <x:c r="H70" t="n">
        <x:f>IF(AND('Execuções'!B70&lt;&gt;"",'Execuções'!C70&lt;&gt;"",ISNUMBER('Execuções'!K70),COUNTIF('Execuções'!$AC$3:$AC$7,'Execuções'!D70)=1,COUNTIFS('Execuções'!$B$9:$B$158,'Execuções'!B70,'Execuções'!$C$9:$C$158,'Execuções'!C70,'Execuções'!$D$9:$D$158,'Execuções'!D70)=1),1,0)</x:f>
        <x:v>0</x:v>
      </x:c>
      <x:c r="I70" t="str">
        <x:f>IF($H70=1,LEFT('Execuções'!E70,FIND(";",'Execuções'!E70&amp;";")-1),"")</x:f>
      </x:c>
      <x:c r="J70" t="str">
        <x:f>IF($H70=1,TRIM(MID('Execuções'!E70,LEN(I70)+2,LEN('Execuções'!E70))),"")</x:f>
      </x:c>
      <x:c r="K70" t="str">
        <x:f>LEFT(J70,FIND(";",J70&amp;";")-1)</x:f>
      </x:c>
      <x:c r="L70" t="str">
        <x:f>IF(LEN(J70)&gt;LEN(K70),TRIM(MID(J70,LEN(K70)+2,LEN(J70))),"")</x:f>
      </x:c>
    </x:row>
    <x:row r="71" ht="44" customHeight="1">
      <x:c r="A71" s="90" t="str">
        <x:v>M2 — Qwen3.6-27B-GGUF</x:v>
      </x:c>
      <x:c r="B71" s="90" t="str">
        <x:v>C4-B-02</x:v>
      </x:c>
      <x:c r="C71" s="91" t="str">
        <x:v>Dificuldade de extensão</x:v>
      </x:c>
      <x:c r="D71" s="98" t="n">
        <x:f>SUM(COUNTIFS('Execuções'!$B$9:$B$158,$A71,'Execuções'!$C$9:$C$158,LEFT($B71,4),$I$9:$I$158,$B71),COUNTIFS('Execuções'!$B$9:$B$158,$A71,'Execuções'!$C$9:$C$158,LEFT($B71,4),$K$9:$K$158,$B71),COUNTIFS('Execuções'!$B$9:$B$158,$A71,'Execuções'!$C$9:$C$158,LEFT($B71,4),$L$9:$L$158,$B71))</x:f>
        <x:v>0</x:v>
      </x:c>
      <x:c r="E71" s="98" t="n">
        <x:f>SUMIFS($H$9:$H$158,'Execuções'!$B$9:$B$158,$A71,'Execuções'!$C$9:$C$158,LEFT($B71,4))</x:f>
        <x:v>0</x:v>
      </x:c>
      <x:c r="F71" s="99" t="str">
        <x:f>IF(E71=0,"",D71/E71)</x:f>
      </x:c>
      <x:c r="H71" t="n">
        <x:f>IF(AND('Execuções'!B71&lt;&gt;"",'Execuções'!C71&lt;&gt;"",ISNUMBER('Execuções'!K71),COUNTIF('Execuções'!$AC$3:$AC$7,'Execuções'!D71)=1,COUNTIFS('Execuções'!$B$9:$B$158,'Execuções'!B71,'Execuções'!$C$9:$C$158,'Execuções'!C71,'Execuções'!$D$9:$D$158,'Execuções'!D71)=1),1,0)</x:f>
        <x:v>0</x:v>
      </x:c>
      <x:c r="I71" t="str">
        <x:f>IF($H71=1,LEFT('Execuções'!E71,FIND(";",'Execuções'!E71&amp;";")-1),"")</x:f>
      </x:c>
      <x:c r="J71" t="str">
        <x:f>IF($H71=1,TRIM(MID('Execuções'!E71,LEN(I71)+2,LEN('Execuções'!E71))),"")</x:f>
      </x:c>
      <x:c r="K71" t="str">
        <x:f>LEFT(J71,FIND(";",J71&amp;";")-1)</x:f>
      </x:c>
      <x:c r="L71" t="str">
        <x:f>IF(LEN(J71)&gt;LEN(K71),TRIM(MID(J71,LEN(K71)+2,LEN(J71))),"")</x:f>
      </x:c>
    </x:row>
    <x:row r="72" ht="44" customHeight="1">
      <x:c r="A72" s="90" t="str">
        <x:v>M3 — GPT-5.6 Luna</x:v>
      </x:c>
      <x:c r="B72" s="90" t="str">
        <x:v>C4-B-02</x:v>
      </x:c>
      <x:c r="C72" s="91" t="str">
        <x:v>Dificuldade de extensão</x:v>
      </x:c>
      <x:c r="D72" s="98" t="n">
        <x:f>SUM(COUNTIFS('Execuções'!$B$9:$B$158,$A72,'Execuções'!$C$9:$C$158,LEFT($B72,4),$I$9:$I$158,$B72),COUNTIFS('Execuções'!$B$9:$B$158,$A72,'Execuções'!$C$9:$C$158,LEFT($B72,4),$K$9:$K$158,$B72),COUNTIFS('Execuções'!$B$9:$B$158,$A72,'Execuções'!$C$9:$C$158,LEFT($B72,4),$L$9:$L$158,$B72))</x:f>
        <x:v>0</x:v>
      </x:c>
      <x:c r="E72" s="98" t="n">
        <x:f>SUMIFS($H$9:$H$158,'Execuções'!$B$9:$B$158,$A72,'Execuções'!$C$9:$C$158,LEFT($B72,4))</x:f>
        <x:v>0</x:v>
      </x:c>
      <x:c r="F72" s="99" t="str">
        <x:f>IF(E72=0,"",D72/E72)</x:f>
      </x:c>
      <x:c r="H72" t="n">
        <x:f>IF(AND('Execuções'!B72&lt;&gt;"",'Execuções'!C72&lt;&gt;"",ISNUMBER('Execuções'!K72),COUNTIF('Execuções'!$AC$3:$AC$7,'Execuções'!D72)=1,COUNTIFS('Execuções'!$B$9:$B$158,'Execuções'!B72,'Execuções'!$C$9:$C$158,'Execuções'!C72,'Execuções'!$D$9:$D$158,'Execuções'!D72)=1),1,0)</x:f>
        <x:v>0</x:v>
      </x:c>
      <x:c r="I72" t="str">
        <x:f>IF($H72=1,LEFT('Execuções'!E72,FIND(";",'Execuções'!E72&amp;";")-1),"")</x:f>
      </x:c>
      <x:c r="J72" t="str">
        <x:f>IF($H72=1,TRIM(MID('Execuções'!E72,LEN(I72)+2,LEN('Execuções'!E72))),"")</x:f>
      </x:c>
      <x:c r="K72" t="str">
        <x:f>LEFT(J72,FIND(";",J72&amp;";")-1)</x:f>
      </x:c>
      <x:c r="L72" t="str">
        <x:f>IF(LEN(J72)&gt;LEN(K72),TRIM(MID(J72,LEN(K72)+2,LEN(J72))),"")</x:f>
      </x:c>
    </x:row>
    <x:row r="73" ht="44" customHeight="1">
      <x:c r="A73" s="90" t="str">
        <x:v>M1 — gemma-4-E4B-it-GGUF</x:v>
      </x:c>
      <x:c r="B73" s="90" t="str">
        <x:v>C5-A-01</x:v>
      </x:c>
      <x:c r="C73" s="91" t="str">
        <x:v>Estado global e dependências ocultas</x:v>
      </x:c>
      <x:c r="D73" s="98" t="n">
        <x:f>SUM(COUNTIFS('Execuções'!$B$9:$B$158,$A73,'Execuções'!$C$9:$C$158,LEFT($B73,4),$I$9:$I$158,$B73),COUNTIFS('Execuções'!$B$9:$B$158,$A73,'Execuções'!$C$9:$C$158,LEFT($B73,4),$K$9:$K$158,$B73),COUNTIFS('Execuções'!$B$9:$B$158,$A73,'Execuções'!$C$9:$C$158,LEFT($B73,4),$L$9:$L$158,$B73))</x:f>
        <x:v>0</x:v>
      </x:c>
      <x:c r="E73" s="98" t="n">
        <x:f>SUMIFS($H$9:$H$158,'Execuções'!$B$9:$B$158,$A73,'Execuções'!$C$9:$C$158,LEFT($B73,4))</x:f>
        <x:v>0</x:v>
      </x:c>
      <x:c r="F73" s="99" t="str">
        <x:f>IF(E73=0,"",D73/E73)</x:f>
      </x:c>
      <x:c r="H73" t="n">
        <x:f>IF(AND('Execuções'!B73&lt;&gt;"",'Execuções'!C73&lt;&gt;"",ISNUMBER('Execuções'!K73),COUNTIF('Execuções'!$AC$3:$AC$7,'Execuções'!D73)=1,COUNTIFS('Execuções'!$B$9:$B$158,'Execuções'!B73,'Execuções'!$C$9:$C$158,'Execuções'!C73,'Execuções'!$D$9:$D$158,'Execuções'!D73)=1),1,0)</x:f>
        <x:v>0</x:v>
      </x:c>
      <x:c r="I73" t="str">
        <x:f>IF($H73=1,LEFT('Execuções'!E73,FIND(";",'Execuções'!E73&amp;";")-1),"")</x:f>
      </x:c>
      <x:c r="J73" t="str">
        <x:f>IF($H73=1,TRIM(MID('Execuções'!E73,LEN(I73)+2,LEN('Execuções'!E73))),"")</x:f>
      </x:c>
      <x:c r="K73" t="str">
        <x:f>LEFT(J73,FIND(";",J73&amp;";")-1)</x:f>
      </x:c>
      <x:c r="L73" t="str">
        <x:f>IF(LEN(J73)&gt;LEN(K73),TRIM(MID(J73,LEN(K73)+2,LEN(J73))),"")</x:f>
      </x:c>
    </x:row>
    <x:row r="74" ht="44" customHeight="1">
      <x:c r="A74" s="90" t="str">
        <x:v>M2 — Qwen3.6-27B-GGUF</x:v>
      </x:c>
      <x:c r="B74" s="90" t="str">
        <x:v>C5-A-01</x:v>
      </x:c>
      <x:c r="C74" s="91" t="str">
        <x:v>Estado global e dependências ocultas</x:v>
      </x:c>
      <x:c r="D74" s="98" t="n">
        <x:f>SUM(COUNTIFS('Execuções'!$B$9:$B$158,$A74,'Execuções'!$C$9:$C$158,LEFT($B74,4),$I$9:$I$158,$B74),COUNTIFS('Execuções'!$B$9:$B$158,$A74,'Execuções'!$C$9:$C$158,LEFT($B74,4),$K$9:$K$158,$B74),COUNTIFS('Execuções'!$B$9:$B$158,$A74,'Execuções'!$C$9:$C$158,LEFT($B74,4),$L$9:$L$158,$B74))</x:f>
        <x:v>0</x:v>
      </x:c>
      <x:c r="E74" s="98" t="n">
        <x:f>SUMIFS($H$9:$H$158,'Execuções'!$B$9:$B$158,$A74,'Execuções'!$C$9:$C$158,LEFT($B74,4))</x:f>
        <x:v>0</x:v>
      </x:c>
      <x:c r="F74" s="99" t="str">
        <x:f>IF(E74=0,"",D74/E74)</x:f>
      </x:c>
      <x:c r="H74" t="n">
        <x:f>IF(AND('Execuções'!B74&lt;&gt;"",'Execuções'!C74&lt;&gt;"",ISNUMBER('Execuções'!K74),COUNTIF('Execuções'!$AC$3:$AC$7,'Execuções'!D74)=1,COUNTIFS('Execuções'!$B$9:$B$158,'Execuções'!B74,'Execuções'!$C$9:$C$158,'Execuções'!C74,'Execuções'!$D$9:$D$158,'Execuções'!D74)=1),1,0)</x:f>
        <x:v>0</x:v>
      </x:c>
      <x:c r="I74" t="str">
        <x:f>IF($H74=1,LEFT('Execuções'!E74,FIND(";",'Execuções'!E74&amp;";")-1),"")</x:f>
      </x:c>
      <x:c r="J74" t="str">
        <x:f>IF($H74=1,TRIM(MID('Execuções'!E74,LEN(I74)+2,LEN('Execuções'!E74))),"")</x:f>
      </x:c>
      <x:c r="K74" t="str">
        <x:f>LEFT(J74,FIND(";",J74&amp;";")-1)</x:f>
      </x:c>
      <x:c r="L74" t="str">
        <x:f>IF(LEN(J74)&gt;LEN(K74),TRIM(MID(J74,LEN(K74)+2,LEN(J74))),"")</x:f>
      </x:c>
    </x:row>
    <x:row r="75" ht="44" customHeight="1">
      <x:c r="A75" s="90" t="str">
        <x:v>M3 — GPT-5.6 Luna</x:v>
      </x:c>
      <x:c r="B75" s="90" t="str">
        <x:v>C5-A-01</x:v>
      </x:c>
      <x:c r="C75" s="91" t="str">
        <x:v>Estado global e dependências ocultas</x:v>
      </x:c>
      <x:c r="D75" s="98" t="n">
        <x:f>SUM(COUNTIFS('Execuções'!$B$9:$B$158,$A75,'Execuções'!$C$9:$C$158,LEFT($B75,4),$I$9:$I$158,$B75),COUNTIFS('Execuções'!$B$9:$B$158,$A75,'Execuções'!$C$9:$C$158,LEFT($B75,4),$K$9:$K$158,$B75),COUNTIFS('Execuções'!$B$9:$B$158,$A75,'Execuções'!$C$9:$C$158,LEFT($B75,4),$L$9:$L$158,$B75))</x:f>
        <x:v>0</x:v>
      </x:c>
      <x:c r="E75" s="98" t="n">
        <x:f>SUMIFS($H$9:$H$158,'Execuções'!$B$9:$B$158,$A75,'Execuções'!$C$9:$C$158,LEFT($B75,4))</x:f>
        <x:v>0</x:v>
      </x:c>
      <x:c r="F75" s="99" t="str">
        <x:f>IF(E75=0,"",D75/E75)</x:f>
      </x:c>
      <x:c r="H75" t="n">
        <x:f>IF(AND('Execuções'!B75&lt;&gt;"",'Execuções'!C75&lt;&gt;"",ISNUMBER('Execuções'!K75),COUNTIF('Execuções'!$AC$3:$AC$7,'Execuções'!D75)=1,COUNTIFS('Execuções'!$B$9:$B$158,'Execuções'!B75,'Execuções'!$C$9:$C$158,'Execuções'!C75,'Execuções'!$D$9:$D$158,'Execuções'!D75)=1),1,0)</x:f>
        <x:v>0</x:v>
      </x:c>
      <x:c r="I75" t="str">
        <x:f>IF($H75=1,LEFT('Execuções'!E75,FIND(";",'Execuções'!E75&amp;";")-1),"")</x:f>
      </x:c>
      <x:c r="J75" t="str">
        <x:f>IF($H75=1,TRIM(MID('Execuções'!E75,LEN(I75)+2,LEN('Execuções'!E75))),"")</x:f>
      </x:c>
      <x:c r="K75" t="str">
        <x:f>LEFT(J75,FIND(";",J75&amp;";")-1)</x:f>
      </x:c>
      <x:c r="L75" t="str">
        <x:f>IF(LEN(J75)&gt;LEN(K75),TRIM(MID(J75,LEN(K75)+2,LEN(J75))),"")</x:f>
      </x:c>
    </x:row>
    <x:row r="76" ht="44" customHeight="1">
      <x:c r="A76" s="90" t="str">
        <x:v>M1 — gemma-4-E4B-it-GGUF</x:v>
      </x:c>
      <x:c r="B76" s="90" t="str">
        <x:v>C5-A-02</x:v>
      </x:c>
      <x:c r="C76" s="91" t="str">
        <x:v>Estado global e dependências ocultas</x:v>
      </x:c>
      <x:c r="D76" s="98" t="n">
        <x:f>SUM(COUNTIFS('Execuções'!$B$9:$B$158,$A76,'Execuções'!$C$9:$C$158,LEFT($B76,4),$I$9:$I$158,$B76),COUNTIFS('Execuções'!$B$9:$B$158,$A76,'Execuções'!$C$9:$C$158,LEFT($B76,4),$K$9:$K$158,$B76),COUNTIFS('Execuções'!$B$9:$B$158,$A76,'Execuções'!$C$9:$C$158,LEFT($B76,4),$L$9:$L$158,$B76))</x:f>
        <x:v>0</x:v>
      </x:c>
      <x:c r="E76" s="98" t="n">
        <x:f>SUMIFS($H$9:$H$158,'Execuções'!$B$9:$B$158,$A76,'Execuções'!$C$9:$C$158,LEFT($B76,4))</x:f>
        <x:v>0</x:v>
      </x:c>
      <x:c r="F76" s="99" t="str">
        <x:f>IF(E76=0,"",D76/E76)</x:f>
      </x:c>
      <x:c r="H76" t="n">
        <x:f>IF(AND('Execuções'!B76&lt;&gt;"",'Execuções'!C76&lt;&gt;"",ISNUMBER('Execuções'!K76),COUNTIF('Execuções'!$AC$3:$AC$7,'Execuções'!D76)=1,COUNTIFS('Execuções'!$B$9:$B$158,'Execuções'!B76,'Execuções'!$C$9:$C$158,'Execuções'!C76,'Execuções'!$D$9:$D$158,'Execuções'!D76)=1),1,0)</x:f>
        <x:v>0</x:v>
      </x:c>
      <x:c r="I76" t="str">
        <x:f>IF($H76=1,LEFT('Execuções'!E76,FIND(";",'Execuções'!E76&amp;";")-1),"")</x:f>
      </x:c>
      <x:c r="J76" t="str">
        <x:f>IF($H76=1,TRIM(MID('Execuções'!E76,LEN(I76)+2,LEN('Execuções'!E76))),"")</x:f>
      </x:c>
      <x:c r="K76" t="str">
        <x:f>LEFT(J76,FIND(";",J76&amp;";")-1)</x:f>
      </x:c>
      <x:c r="L76" t="str">
        <x:f>IF(LEN(J76)&gt;LEN(K76),TRIM(MID(J76,LEN(K76)+2,LEN(J76))),"")</x:f>
      </x:c>
    </x:row>
    <x:row r="77" ht="44" customHeight="1">
      <x:c r="A77" s="90" t="str">
        <x:v>M2 — Qwen3.6-27B-GGUF</x:v>
      </x:c>
      <x:c r="B77" s="90" t="str">
        <x:v>C5-A-02</x:v>
      </x:c>
      <x:c r="C77" s="91" t="str">
        <x:v>Estado global e dependências ocultas</x:v>
      </x:c>
      <x:c r="D77" s="98" t="n">
        <x:f>SUM(COUNTIFS('Execuções'!$B$9:$B$158,$A77,'Execuções'!$C$9:$C$158,LEFT($B77,4),$I$9:$I$158,$B77),COUNTIFS('Execuções'!$B$9:$B$158,$A77,'Execuções'!$C$9:$C$158,LEFT($B77,4),$K$9:$K$158,$B77),COUNTIFS('Execuções'!$B$9:$B$158,$A77,'Execuções'!$C$9:$C$158,LEFT($B77,4),$L$9:$L$158,$B77))</x:f>
        <x:v>0</x:v>
      </x:c>
      <x:c r="E77" s="98" t="n">
        <x:f>SUMIFS($H$9:$H$158,'Execuções'!$B$9:$B$158,$A77,'Execuções'!$C$9:$C$158,LEFT($B77,4))</x:f>
        <x:v>0</x:v>
      </x:c>
      <x:c r="F77" s="99" t="str">
        <x:f>IF(E77=0,"",D77/E77)</x:f>
      </x:c>
      <x:c r="H77" t="n">
        <x:f>IF(AND('Execuções'!B77&lt;&gt;"",'Execuções'!C77&lt;&gt;"",ISNUMBER('Execuções'!K77),COUNTIF('Execuções'!$AC$3:$AC$7,'Execuções'!D77)=1,COUNTIFS('Execuções'!$B$9:$B$158,'Execuções'!B77,'Execuções'!$C$9:$C$158,'Execuções'!C77,'Execuções'!$D$9:$D$158,'Execuções'!D77)=1),1,0)</x:f>
        <x:v>0</x:v>
      </x:c>
      <x:c r="I77" t="str">
        <x:f>IF($H77=1,LEFT('Execuções'!E77,FIND(";",'Execuções'!E77&amp;";")-1),"")</x:f>
      </x:c>
      <x:c r="J77" t="str">
        <x:f>IF($H77=1,TRIM(MID('Execuções'!E77,LEN(I77)+2,LEN('Execuções'!E77))),"")</x:f>
      </x:c>
      <x:c r="K77" t="str">
        <x:f>LEFT(J77,FIND(";",J77&amp;";")-1)</x:f>
      </x:c>
      <x:c r="L77" t="str">
        <x:f>IF(LEN(J77)&gt;LEN(K77),TRIM(MID(J77,LEN(K77)+2,LEN(J77))),"")</x:f>
      </x:c>
    </x:row>
    <x:row r="78" ht="44" customHeight="1">
      <x:c r="A78" s="90" t="str">
        <x:v>M3 — GPT-5.6 Luna</x:v>
      </x:c>
      <x:c r="B78" s="90" t="str">
        <x:v>C5-A-02</x:v>
      </x:c>
      <x:c r="C78" s="91" t="str">
        <x:v>Estado global e dependências ocultas</x:v>
      </x:c>
      <x:c r="D78" s="98" t="n">
        <x:f>SUM(COUNTIFS('Execuções'!$B$9:$B$158,$A78,'Execuções'!$C$9:$C$158,LEFT($B78,4),$I$9:$I$158,$B78),COUNTIFS('Execuções'!$B$9:$B$158,$A78,'Execuções'!$C$9:$C$158,LEFT($B78,4),$K$9:$K$158,$B78),COUNTIFS('Execuções'!$B$9:$B$158,$A78,'Execuções'!$C$9:$C$158,LEFT($B78,4),$L$9:$L$158,$B78))</x:f>
        <x:v>0</x:v>
      </x:c>
      <x:c r="E78" s="98" t="n">
        <x:f>SUMIFS($H$9:$H$158,'Execuções'!$B$9:$B$158,$A78,'Execuções'!$C$9:$C$158,LEFT($B78,4))</x:f>
        <x:v>0</x:v>
      </x:c>
      <x:c r="F78" s="99" t="str">
        <x:f>IF(E78=0,"",D78/E78)</x:f>
      </x:c>
      <x:c r="H78" t="n">
        <x:f>IF(AND('Execuções'!B78&lt;&gt;"",'Execuções'!C78&lt;&gt;"",ISNUMBER('Execuções'!K78),COUNTIF('Execuções'!$AC$3:$AC$7,'Execuções'!D78)=1,COUNTIFS('Execuções'!$B$9:$B$158,'Execuções'!B78,'Execuções'!$C$9:$C$158,'Execuções'!C78,'Execuções'!$D$9:$D$158,'Execuções'!D78)=1),1,0)</x:f>
        <x:v>0</x:v>
      </x:c>
      <x:c r="I78" t="str">
        <x:f>IF($H78=1,LEFT('Execuções'!E78,FIND(";",'Execuções'!E78&amp;";")-1),"")</x:f>
      </x:c>
      <x:c r="J78" t="str">
        <x:f>IF($H78=1,TRIM(MID('Execuções'!E78,LEN(I78)+2,LEN('Execuções'!E78))),"")</x:f>
      </x:c>
      <x:c r="K78" t="str">
        <x:f>LEFT(J78,FIND(";",J78&amp;";")-1)</x:f>
      </x:c>
      <x:c r="L78" t="str">
        <x:f>IF(LEN(J78)&gt;LEN(K78),TRIM(MID(J78,LEN(K78)+2,LEN(J78))),"")</x:f>
      </x:c>
    </x:row>
    <x:row r="79" ht="44" customHeight="1">
      <x:c r="A79" s="90" t="str">
        <x:v>M1 — gemma-4-E4B-it-GGUF</x:v>
      </x:c>
      <x:c r="B79" s="90" t="str">
        <x:v>C5-A-03</x:v>
      </x:c>
      <x:c r="C79" s="91" t="str">
        <x:v>Estado global e dependências ocultas</x:v>
      </x:c>
      <x:c r="D79" s="98" t="n">
        <x:f>SUM(COUNTIFS('Execuções'!$B$9:$B$158,$A79,'Execuções'!$C$9:$C$158,LEFT($B79,4),$I$9:$I$158,$B79),COUNTIFS('Execuções'!$B$9:$B$158,$A79,'Execuções'!$C$9:$C$158,LEFT($B79,4),$K$9:$K$158,$B79),COUNTIFS('Execuções'!$B$9:$B$158,$A79,'Execuções'!$C$9:$C$158,LEFT($B79,4),$L$9:$L$158,$B79))</x:f>
        <x:v>0</x:v>
      </x:c>
      <x:c r="E79" s="98" t="n">
        <x:f>SUMIFS($H$9:$H$158,'Execuções'!$B$9:$B$158,$A79,'Execuções'!$C$9:$C$158,LEFT($B79,4))</x:f>
        <x:v>0</x:v>
      </x:c>
      <x:c r="F79" s="99" t="str">
        <x:f>IF(E79=0,"",D79/E79)</x:f>
      </x:c>
      <x:c r="H79" t="n">
        <x:f>IF(AND('Execuções'!B79&lt;&gt;"",'Execuções'!C79&lt;&gt;"",ISNUMBER('Execuções'!K79),COUNTIF('Execuções'!$AC$3:$AC$7,'Execuções'!D79)=1,COUNTIFS('Execuções'!$B$9:$B$158,'Execuções'!B79,'Execuções'!$C$9:$C$158,'Execuções'!C79,'Execuções'!$D$9:$D$158,'Execuções'!D79)=1),1,0)</x:f>
        <x:v>0</x:v>
      </x:c>
      <x:c r="I79" t="str">
        <x:f>IF($H79=1,LEFT('Execuções'!E79,FIND(";",'Execuções'!E79&amp;";")-1),"")</x:f>
      </x:c>
      <x:c r="J79" t="str">
        <x:f>IF($H79=1,TRIM(MID('Execuções'!E79,LEN(I79)+2,LEN('Execuções'!E79))),"")</x:f>
      </x:c>
      <x:c r="K79" t="str">
        <x:f>LEFT(J79,FIND(";",J79&amp;";")-1)</x:f>
      </x:c>
      <x:c r="L79" t="str">
        <x:f>IF(LEN(J79)&gt;LEN(K79),TRIM(MID(J79,LEN(K79)+2,LEN(J79))),"")</x:f>
      </x:c>
    </x:row>
    <x:row r="80" ht="44" customHeight="1">
      <x:c r="A80" s="90" t="str">
        <x:v>M2 — Qwen3.6-27B-GGUF</x:v>
      </x:c>
      <x:c r="B80" s="90" t="str">
        <x:v>C5-A-03</x:v>
      </x:c>
      <x:c r="C80" s="91" t="str">
        <x:v>Estado global e dependências ocultas</x:v>
      </x:c>
      <x:c r="D80" s="98" t="n">
        <x:f>SUM(COUNTIFS('Execuções'!$B$9:$B$158,$A80,'Execuções'!$C$9:$C$158,LEFT($B80,4),$I$9:$I$158,$B80),COUNTIFS('Execuções'!$B$9:$B$158,$A80,'Execuções'!$C$9:$C$158,LEFT($B80,4),$K$9:$K$158,$B80),COUNTIFS('Execuções'!$B$9:$B$158,$A80,'Execuções'!$C$9:$C$158,LEFT($B80,4),$L$9:$L$158,$B80))</x:f>
        <x:v>0</x:v>
      </x:c>
      <x:c r="E80" s="98" t="n">
        <x:f>SUMIFS($H$9:$H$158,'Execuções'!$B$9:$B$158,$A80,'Execuções'!$C$9:$C$158,LEFT($B80,4))</x:f>
        <x:v>0</x:v>
      </x:c>
      <x:c r="F80" s="99" t="str">
        <x:f>IF(E80=0,"",D80/E80)</x:f>
      </x:c>
      <x:c r="H80" t="n">
        <x:f>IF(AND('Execuções'!B80&lt;&gt;"",'Execuções'!C80&lt;&gt;"",ISNUMBER('Execuções'!K80),COUNTIF('Execuções'!$AC$3:$AC$7,'Execuções'!D80)=1,COUNTIFS('Execuções'!$B$9:$B$158,'Execuções'!B80,'Execuções'!$C$9:$C$158,'Execuções'!C80,'Execuções'!$D$9:$D$158,'Execuções'!D80)=1),1,0)</x:f>
        <x:v>0</x:v>
      </x:c>
      <x:c r="I80" t="str">
        <x:f>IF($H80=1,LEFT('Execuções'!E80,FIND(";",'Execuções'!E80&amp;";")-1),"")</x:f>
      </x:c>
      <x:c r="J80" t="str">
        <x:f>IF($H80=1,TRIM(MID('Execuções'!E80,LEN(I80)+2,LEN('Execuções'!E80))),"")</x:f>
      </x:c>
      <x:c r="K80" t="str">
        <x:f>LEFT(J80,FIND(";",J80&amp;";")-1)</x:f>
      </x:c>
      <x:c r="L80" t="str">
        <x:f>IF(LEN(J80)&gt;LEN(K80),TRIM(MID(J80,LEN(K80)+2,LEN(J80))),"")</x:f>
      </x:c>
    </x:row>
    <x:row r="81" ht="44" customHeight="1">
      <x:c r="A81" s="90" t="str">
        <x:v>M3 — GPT-5.6 Luna</x:v>
      </x:c>
      <x:c r="B81" s="90" t="str">
        <x:v>C5-A-03</x:v>
      </x:c>
      <x:c r="C81" s="91" t="str">
        <x:v>Estado global e dependências ocultas</x:v>
      </x:c>
      <x:c r="D81" s="98" t="n">
        <x:f>SUM(COUNTIFS('Execuções'!$B$9:$B$158,$A81,'Execuções'!$C$9:$C$158,LEFT($B81,4),$I$9:$I$158,$B81),COUNTIFS('Execuções'!$B$9:$B$158,$A81,'Execuções'!$C$9:$C$158,LEFT($B81,4),$K$9:$K$158,$B81),COUNTIFS('Execuções'!$B$9:$B$158,$A81,'Execuções'!$C$9:$C$158,LEFT($B81,4),$L$9:$L$158,$B81))</x:f>
        <x:v>0</x:v>
      </x:c>
      <x:c r="E81" s="98" t="n">
        <x:f>SUMIFS($H$9:$H$158,'Execuções'!$B$9:$B$158,$A81,'Execuções'!$C$9:$C$158,LEFT($B81,4))</x:f>
        <x:v>0</x:v>
      </x:c>
      <x:c r="F81" s="99" t="str">
        <x:f>IF(E81=0,"",D81/E81)</x:f>
      </x:c>
      <x:c r="H81" t="n">
        <x:f>IF(AND('Execuções'!B81&lt;&gt;"",'Execuções'!C81&lt;&gt;"",ISNUMBER('Execuções'!K81),COUNTIF('Execuções'!$AC$3:$AC$7,'Execuções'!D81)=1,COUNTIFS('Execuções'!$B$9:$B$158,'Execuções'!B81,'Execuções'!$C$9:$C$158,'Execuções'!C81,'Execuções'!$D$9:$D$158,'Execuções'!D81)=1),1,0)</x:f>
        <x:v>0</x:v>
      </x:c>
      <x:c r="I81" t="str">
        <x:f>IF($H81=1,LEFT('Execuções'!E81,FIND(";",'Execuções'!E81&amp;";")-1),"")</x:f>
      </x:c>
      <x:c r="J81" t="str">
        <x:f>IF($H81=1,TRIM(MID('Execuções'!E81,LEN(I81)+2,LEN('Execuções'!E81))),"")</x:f>
      </x:c>
      <x:c r="K81" t="str">
        <x:f>LEFT(J81,FIND(";",J81&amp;";")-1)</x:f>
      </x:c>
      <x:c r="L81" t="str">
        <x:f>IF(LEN(J81)&gt;LEN(K81),TRIM(MID(J81,LEN(K81)+2,LEN(J81))),"")</x:f>
      </x:c>
    </x:row>
    <x:row r="82" ht="44" customHeight="1">
      <x:c r="A82" s="104" t="str">
        <x:v>M1 — gemma-4-E4B-it-GGUF</x:v>
      </x:c>
      <x:c r="B82" s="104" t="str">
        <x:v>C5-B-01</x:v>
      </x:c>
      <x:c r="C82" s="105" t="str">
        <x:v>Estado global e dependências ocultas</x:v>
      </x:c>
      <x:c r="D82" s="108" t="n">
        <x:f>SUM(COUNTIFS('Execuções'!$B$9:$B$158,$A82,'Execuções'!$C$9:$C$158,LEFT($B82,4),$I$9:$I$158,$B82),COUNTIFS('Execuções'!$B$9:$B$158,$A82,'Execuções'!$C$9:$C$158,LEFT($B82,4),$K$9:$K$158,$B82),COUNTIFS('Execuções'!$B$9:$B$158,$A82,'Execuções'!$C$9:$C$158,LEFT($B82,4),$L$9:$L$158,$B82))</x:f>
        <x:v>0</x:v>
      </x:c>
      <x:c r="E82" s="108" t="n">
        <x:f>SUMIFS($H$9:$H$158,'Execuções'!$B$9:$B$158,$A82,'Execuções'!$C$9:$C$158,LEFT($B82,4))</x:f>
        <x:v>0</x:v>
      </x:c>
      <x:c r="F82" s="109" t="str">
        <x:f>IF(E82=0,"",D82/E82)</x:f>
      </x:c>
      <x:c r="H82" t="n">
        <x:f>IF(AND('Execuções'!B82&lt;&gt;"",'Execuções'!C82&lt;&gt;"",ISNUMBER('Execuções'!K82),COUNTIF('Execuções'!$AC$3:$AC$7,'Execuções'!D82)=1,COUNTIFS('Execuções'!$B$9:$B$158,'Execuções'!B82,'Execuções'!$C$9:$C$158,'Execuções'!C82,'Execuções'!$D$9:$D$158,'Execuções'!D82)=1),1,0)</x:f>
        <x:v>0</x:v>
      </x:c>
      <x:c r="I82" t="str">
        <x:f>IF($H82=1,LEFT('Execuções'!E82,FIND(";",'Execuções'!E82&amp;";")-1),"")</x:f>
      </x:c>
      <x:c r="J82" t="str">
        <x:f>IF($H82=1,TRIM(MID('Execuções'!E82,LEN(I82)+2,LEN('Execuções'!E82))),"")</x:f>
      </x:c>
      <x:c r="K82" t="str">
        <x:f>LEFT(J82,FIND(";",J82&amp;";")-1)</x:f>
      </x:c>
      <x:c r="L82" t="str">
        <x:f>IF(LEN(J82)&gt;LEN(K82),TRIM(MID(J82,LEN(K82)+2,LEN(J82))),"")</x:f>
      </x:c>
    </x:row>
    <x:row r="83" ht="44" customHeight="1">
      <x:c r="A83" s="104" t="str">
        <x:v>M2 — Qwen3.6-27B-GGUF</x:v>
      </x:c>
      <x:c r="B83" s="104" t="str">
        <x:v>C5-B-01</x:v>
      </x:c>
      <x:c r="C83" s="105" t="str">
        <x:v>Estado global e dependências ocultas</x:v>
      </x:c>
      <x:c r="D83" s="108" t="n">
        <x:f>SUM(COUNTIFS('Execuções'!$B$9:$B$158,$A83,'Execuções'!$C$9:$C$158,LEFT($B83,4),$I$9:$I$158,$B83),COUNTIFS('Execuções'!$B$9:$B$158,$A83,'Execuções'!$C$9:$C$158,LEFT($B83,4),$K$9:$K$158,$B83),COUNTIFS('Execuções'!$B$9:$B$158,$A83,'Execuções'!$C$9:$C$158,LEFT($B83,4),$L$9:$L$158,$B83))</x:f>
        <x:v>0</x:v>
      </x:c>
      <x:c r="E83" s="108" t="n">
        <x:f>SUMIFS($H$9:$H$158,'Execuções'!$B$9:$B$158,$A83,'Execuções'!$C$9:$C$158,LEFT($B83,4))</x:f>
        <x:v>0</x:v>
      </x:c>
      <x:c r="F83" s="109" t="str">
        <x:f>IF(E83=0,"",D83/E83)</x:f>
      </x:c>
      <x:c r="H83" t="n">
        <x:f>IF(AND('Execuções'!B83&lt;&gt;"",'Execuções'!C83&lt;&gt;"",ISNUMBER('Execuções'!K83),COUNTIF('Execuções'!$AC$3:$AC$7,'Execuções'!D83)=1,COUNTIFS('Execuções'!$B$9:$B$158,'Execuções'!B83,'Execuções'!$C$9:$C$158,'Execuções'!C83,'Execuções'!$D$9:$D$158,'Execuções'!D83)=1),1,0)</x:f>
        <x:v>0</x:v>
      </x:c>
      <x:c r="I83" t="str">
        <x:f>IF($H83=1,LEFT('Execuções'!E83,FIND(";",'Execuções'!E83&amp;";")-1),"")</x:f>
      </x:c>
      <x:c r="J83" t="str">
        <x:f>IF($H83=1,TRIM(MID('Execuções'!E83,LEN(I83)+2,LEN('Execuções'!E83))),"")</x:f>
      </x:c>
      <x:c r="K83" t="str">
        <x:f>LEFT(J83,FIND(";",J83&amp;";")-1)</x:f>
      </x:c>
      <x:c r="L83" t="str">
        <x:f>IF(LEN(J83)&gt;LEN(K83),TRIM(MID(J83,LEN(K83)+2,LEN(J83))),"")</x:f>
      </x:c>
    </x:row>
    <x:row r="84" ht="44" customHeight="1">
      <x:c r="A84" s="104" t="str">
        <x:v>M3 — GPT-5.6 Luna</x:v>
      </x:c>
      <x:c r="B84" s="104" t="str">
        <x:v>C5-B-01</x:v>
      </x:c>
      <x:c r="C84" s="105" t="str">
        <x:v>Estado global e dependências ocultas</x:v>
      </x:c>
      <x:c r="D84" s="108" t="n">
        <x:f>SUM(COUNTIFS('Execuções'!$B$9:$B$158,$A84,'Execuções'!$C$9:$C$158,LEFT($B84,4),$I$9:$I$158,$B84),COUNTIFS('Execuções'!$B$9:$B$158,$A84,'Execuções'!$C$9:$C$158,LEFT($B84,4),$K$9:$K$158,$B84),COUNTIFS('Execuções'!$B$9:$B$158,$A84,'Execuções'!$C$9:$C$158,LEFT($B84,4),$L$9:$L$158,$B84))</x:f>
        <x:v>0</x:v>
      </x:c>
      <x:c r="E84" s="108" t="n">
        <x:f>SUMIFS($H$9:$H$158,'Execuções'!$B$9:$B$158,$A84,'Execuções'!$C$9:$C$158,LEFT($B84,4))</x:f>
        <x:v>0</x:v>
      </x:c>
      <x:c r="F84" s="109" t="str">
        <x:f>IF(E84=0,"",D84/E84)</x:f>
      </x:c>
      <x:c r="H84" t="n">
        <x:f>IF(AND('Execuções'!B84&lt;&gt;"",'Execuções'!C84&lt;&gt;"",ISNUMBER('Execuções'!K84),COUNTIF('Execuções'!$AC$3:$AC$7,'Execuções'!D84)=1,COUNTIFS('Execuções'!$B$9:$B$158,'Execuções'!B84,'Execuções'!$C$9:$C$158,'Execuções'!C84,'Execuções'!$D$9:$D$158,'Execuções'!D84)=1),1,0)</x:f>
        <x:v>0</x:v>
      </x:c>
      <x:c r="I84" t="str">
        <x:f>IF($H84=1,LEFT('Execuções'!E84,FIND(";",'Execuções'!E84&amp;";")-1),"")</x:f>
      </x:c>
      <x:c r="J84" t="str">
        <x:f>IF($H84=1,TRIM(MID('Execuções'!E84,LEN(I84)+2,LEN('Execuções'!E84))),"")</x:f>
      </x:c>
      <x:c r="K84" t="str">
        <x:f>LEFT(J84,FIND(";",J84&amp;";")-1)</x:f>
      </x:c>
      <x:c r="L84" t="str">
        <x:f>IF(LEN(J84)&gt;LEN(K84),TRIM(MID(J84,LEN(K84)+2,LEN(J84))),"")</x:f>
      </x:c>
    </x:row>
    <x:row r="85" ht="44" customHeight="1">
      <x:c r="A85" s="104" t="str">
        <x:v>M1 — gemma-4-E4B-it-GGUF</x:v>
      </x:c>
      <x:c r="B85" s="104" t="str">
        <x:v>C5-B-02</x:v>
      </x:c>
      <x:c r="C85" s="105" t="str">
        <x:v>Estado global e dependências ocultas</x:v>
      </x:c>
      <x:c r="D85" s="108" t="n">
        <x:f>SUM(COUNTIFS('Execuções'!$B$9:$B$158,$A85,'Execuções'!$C$9:$C$158,LEFT($B85,4),$I$9:$I$158,$B85),COUNTIFS('Execuções'!$B$9:$B$158,$A85,'Execuções'!$C$9:$C$158,LEFT($B85,4),$K$9:$K$158,$B85),COUNTIFS('Execuções'!$B$9:$B$158,$A85,'Execuções'!$C$9:$C$158,LEFT($B85,4),$L$9:$L$158,$B85))</x:f>
        <x:v>0</x:v>
      </x:c>
      <x:c r="E85" s="108" t="n">
        <x:f>SUMIFS($H$9:$H$158,'Execuções'!$B$9:$B$158,$A85,'Execuções'!$C$9:$C$158,LEFT($B85,4))</x:f>
        <x:v>0</x:v>
      </x:c>
      <x:c r="F85" s="109" t="str">
        <x:f>IF(E85=0,"",D85/E85)</x:f>
      </x:c>
      <x:c r="H85" t="n">
        <x:f>IF(AND('Execuções'!B85&lt;&gt;"",'Execuções'!C85&lt;&gt;"",ISNUMBER('Execuções'!K85),COUNTIF('Execuções'!$AC$3:$AC$7,'Execuções'!D85)=1,COUNTIFS('Execuções'!$B$9:$B$158,'Execuções'!B85,'Execuções'!$C$9:$C$158,'Execuções'!C85,'Execuções'!$D$9:$D$158,'Execuções'!D85)=1),1,0)</x:f>
        <x:v>0</x:v>
      </x:c>
      <x:c r="I85" t="str">
        <x:f>IF($H85=1,LEFT('Execuções'!E85,FIND(";",'Execuções'!E85&amp;";")-1),"")</x:f>
      </x:c>
      <x:c r="J85" t="str">
        <x:f>IF($H85=1,TRIM(MID('Execuções'!E85,LEN(I85)+2,LEN('Execuções'!E85))),"")</x:f>
      </x:c>
      <x:c r="K85" t="str">
        <x:f>LEFT(J85,FIND(";",J85&amp;";")-1)</x:f>
      </x:c>
      <x:c r="L85" t="str">
        <x:f>IF(LEN(J85)&gt;LEN(K85),TRIM(MID(J85,LEN(K85)+2,LEN(J85))),"")</x:f>
      </x:c>
    </x:row>
    <x:row r="86" ht="44" customHeight="1">
      <x:c r="A86" s="104" t="str">
        <x:v>M2 — Qwen3.6-27B-GGUF</x:v>
      </x:c>
      <x:c r="B86" s="104" t="str">
        <x:v>C5-B-02</x:v>
      </x:c>
      <x:c r="C86" s="105" t="str">
        <x:v>Estado global e dependências ocultas</x:v>
      </x:c>
      <x:c r="D86" s="108" t="n">
        <x:f>SUM(COUNTIFS('Execuções'!$B$9:$B$158,$A86,'Execuções'!$C$9:$C$158,LEFT($B86,4),$I$9:$I$158,$B86),COUNTIFS('Execuções'!$B$9:$B$158,$A86,'Execuções'!$C$9:$C$158,LEFT($B86,4),$K$9:$K$158,$B86),COUNTIFS('Execuções'!$B$9:$B$158,$A86,'Execuções'!$C$9:$C$158,LEFT($B86,4),$L$9:$L$158,$B86))</x:f>
        <x:v>0</x:v>
      </x:c>
      <x:c r="E86" s="108" t="n">
        <x:f>SUMIFS($H$9:$H$158,'Execuções'!$B$9:$B$158,$A86,'Execuções'!$C$9:$C$158,LEFT($B86,4))</x:f>
        <x:v>0</x:v>
      </x:c>
      <x:c r="F86" s="109" t="str">
        <x:f>IF(E86=0,"",D86/E86)</x:f>
      </x:c>
      <x:c r="H86" t="n">
        <x:f>IF(AND('Execuções'!B86&lt;&gt;"",'Execuções'!C86&lt;&gt;"",ISNUMBER('Execuções'!K86),COUNTIF('Execuções'!$AC$3:$AC$7,'Execuções'!D86)=1,COUNTIFS('Execuções'!$B$9:$B$158,'Execuções'!B86,'Execuções'!$C$9:$C$158,'Execuções'!C86,'Execuções'!$D$9:$D$158,'Execuções'!D86)=1),1,0)</x:f>
        <x:v>0</x:v>
      </x:c>
      <x:c r="I86" t="str">
        <x:f>IF($H86=1,LEFT('Execuções'!E86,FIND(";",'Execuções'!E86&amp;";")-1),"")</x:f>
      </x:c>
      <x:c r="J86" t="str">
        <x:f>IF($H86=1,TRIM(MID('Execuções'!E86,LEN(I86)+2,LEN('Execuções'!E86))),"")</x:f>
      </x:c>
      <x:c r="K86" t="str">
        <x:f>LEFT(J86,FIND(";",J86&amp;";")-1)</x:f>
      </x:c>
      <x:c r="L86" t="str">
        <x:f>IF(LEN(J86)&gt;LEN(K86),TRIM(MID(J86,LEN(K86)+2,LEN(J86))),"")</x:f>
      </x:c>
    </x:row>
    <x:row r="87" ht="44" customHeight="1">
      <x:c r="A87" s="104" t="str">
        <x:v>M3 — GPT-5.6 Luna</x:v>
      </x:c>
      <x:c r="B87" s="104" t="str">
        <x:v>C5-B-02</x:v>
      </x:c>
      <x:c r="C87" s="105" t="str">
        <x:v>Estado global e dependências ocultas</x:v>
      </x:c>
      <x:c r="D87" s="108" t="n">
        <x:f>SUM(COUNTIFS('Execuções'!$B$9:$B$158,$A87,'Execuções'!$C$9:$C$158,LEFT($B87,4),$I$9:$I$158,$B87),COUNTIFS('Execuções'!$B$9:$B$158,$A87,'Execuções'!$C$9:$C$158,LEFT($B87,4),$K$9:$K$158,$B87),COUNTIFS('Execuções'!$B$9:$B$158,$A87,'Execuções'!$C$9:$C$158,LEFT($B87,4),$L$9:$L$158,$B87))</x:f>
        <x:v>0</x:v>
      </x:c>
      <x:c r="E87" s="108" t="n">
        <x:f>SUMIFS($H$9:$H$158,'Execuções'!$B$9:$B$158,$A87,'Execuções'!$C$9:$C$158,LEFT($B87,4))</x:f>
        <x:v>0</x:v>
      </x:c>
      <x:c r="F87" s="109" t="str">
        <x:f>IF(E87=0,"",D87/E87)</x:f>
      </x:c>
      <x:c r="H87" t="n">
        <x:f>IF(AND('Execuções'!B87&lt;&gt;"",'Execuções'!C87&lt;&gt;"",ISNUMBER('Execuções'!K87),COUNTIF('Execuções'!$AC$3:$AC$7,'Execuções'!D87)=1,COUNTIFS('Execuções'!$B$9:$B$158,'Execuções'!B87,'Execuções'!$C$9:$C$158,'Execuções'!C87,'Execuções'!$D$9:$D$158,'Execuções'!D87)=1),1,0)</x:f>
        <x:v>0</x:v>
      </x:c>
      <x:c r="I87" t="str">
        <x:f>IF($H87=1,LEFT('Execuções'!E87,FIND(";",'Execuções'!E87&amp;";")-1),"")</x:f>
      </x:c>
      <x:c r="J87" t="str">
        <x:f>IF($H87=1,TRIM(MID('Execuções'!E87,LEN(I87)+2,LEN('Execuções'!E87))),"")</x:f>
      </x:c>
      <x:c r="K87" t="str">
        <x:f>LEFT(J87,FIND(";",J87&amp;";")-1)</x:f>
      </x:c>
      <x:c r="L87" t="str">
        <x:f>IF(LEN(J87)&gt;LEN(K87),TRIM(MID(J87,LEN(K87)+2,LEN(J87))),"")</x:f>
      </x:c>
    </x:row>
    <x:row r="88">
      <x:c r="H88" t="n">
        <x:f>IF(AND('Execuções'!B88&lt;&gt;"",'Execuções'!C88&lt;&gt;"",ISNUMBER('Execuções'!K88),COUNTIF('Execuções'!$AC$3:$AC$7,'Execuções'!D88)=1,COUNTIFS('Execuções'!$B$9:$B$158,'Execuções'!B88,'Execuções'!$C$9:$C$158,'Execuções'!C88,'Execuções'!$D$9:$D$158,'Execuções'!D88)=1),1,0)</x:f>
        <x:v>0</x:v>
      </x:c>
      <x:c r="I88" t="str">
        <x:f>IF($H88=1,LEFT('Execuções'!E88,FIND(";",'Execuções'!E88&amp;";")-1),"")</x:f>
      </x:c>
      <x:c r="J88" t="str">
        <x:f>IF($H88=1,TRIM(MID('Execuções'!E88,LEN(I88)+2,LEN('Execuções'!E88))),"")</x:f>
      </x:c>
      <x:c r="K88" t="str">
        <x:f>LEFT(J88,FIND(";",J88&amp;";")-1)</x:f>
      </x:c>
      <x:c r="L88" t="str">
        <x:f>IF(LEN(J88)&gt;LEN(K88),TRIM(MID(J88,LEN(K88)+2,LEN(J88))),"")</x:f>
      </x:c>
    </x:row>
    <x:row r="89" ht="22" customHeight="1">
      <x:c r="A89" s="6" t="str">
        <x:v>Fonte dos tipos: referências individuais C1-A.md a C5-B.md. As contagens serão atualizadas pela aba Execuções.</x:v>
      </x:c>
      <x:c r="B89" s="6"/>
      <x:c r="C89" s="6"/>
      <x:c r="D89" s="6"/>
      <x:c r="E89" s="6"/>
      <x:c r="F89" s="6"/>
      <x:c r="H89" t="n">
        <x:f>IF(AND('Execuções'!B89&lt;&gt;"",'Execuções'!C89&lt;&gt;"",ISNUMBER('Execuções'!K89),COUNTIF('Execuções'!$AC$3:$AC$7,'Execuções'!D89)=1,COUNTIFS('Execuções'!$B$9:$B$158,'Execuções'!B89,'Execuções'!$C$9:$C$158,'Execuções'!C89,'Execuções'!$D$9:$D$158,'Execuções'!D89)=1),1,0)</x:f>
        <x:v>0</x:v>
      </x:c>
      <x:c r="I89" t="str">
        <x:f>IF($H89=1,LEFT('Execuções'!E89,FIND(";",'Execuções'!E89&amp;";")-1),"")</x:f>
      </x:c>
      <x:c r="J89" t="str">
        <x:f>IF($H89=1,TRIM(MID('Execuções'!E89,LEN(I89)+2,LEN('Execuções'!E89))),"")</x:f>
      </x:c>
      <x:c r="K89" t="str">
        <x:f>LEFT(J89,FIND(";",J89&amp;";")-1)</x:f>
      </x:c>
      <x:c r="L89" t="str">
        <x:f>IF(LEN(J89)&gt;LEN(K89),TRIM(MID(J89,LEN(K89)+2,LEN(J89))),"")</x:f>
      </x:c>
    </x:row>
    <x:row r="90">
      <x:c r="H90" t="n">
        <x:f>IF(AND('Execuções'!B90&lt;&gt;"",'Execuções'!C90&lt;&gt;"",ISNUMBER('Execuções'!K90),COUNTIF('Execuções'!$AC$3:$AC$7,'Execuções'!D90)=1,COUNTIFS('Execuções'!$B$9:$B$158,'Execuções'!B90,'Execuções'!$C$9:$C$158,'Execuções'!C90,'Execuções'!$D$9:$D$158,'Execuções'!D90)=1),1,0)</x:f>
        <x:v>0</x:v>
      </x:c>
      <x:c r="I90" t="str">
        <x:f>IF($H90=1,LEFT('Execuções'!E90,FIND(";",'Execuções'!E90&amp;";")-1),"")</x:f>
      </x:c>
      <x:c r="J90" t="str">
        <x:f>IF($H90=1,TRIM(MID('Execuções'!E90,LEN(I90)+2,LEN('Execuções'!E90))),"")</x:f>
      </x:c>
      <x:c r="K90" t="str">
        <x:f>LEFT(J90,FIND(";",J90&amp;";")-1)</x:f>
      </x:c>
      <x:c r="L90" t="str">
        <x:f>IF(LEN(J90)&gt;LEN(K90),TRIM(MID(J90,LEN(K90)+2,LEN(J90))),"")</x:f>
      </x:c>
    </x:row>
    <x:row r="91">
      <x:c r="H91" t="n">
        <x:f>IF(AND('Execuções'!B91&lt;&gt;"",'Execuções'!C91&lt;&gt;"",ISNUMBER('Execuções'!K91),COUNTIF('Execuções'!$AC$3:$AC$7,'Execuções'!D91)=1,COUNTIFS('Execuções'!$B$9:$B$158,'Execuções'!B91,'Execuções'!$C$9:$C$158,'Execuções'!C91,'Execuções'!$D$9:$D$158,'Execuções'!D91)=1),1,0)</x:f>
        <x:v>0</x:v>
      </x:c>
      <x:c r="I91" t="str">
        <x:f>IF($H91=1,LEFT('Execuções'!E91,FIND(";",'Execuções'!E91&amp;";")-1),"")</x:f>
      </x:c>
      <x:c r="J91" t="str">
        <x:f>IF($H91=1,TRIM(MID('Execuções'!E91,LEN(I91)+2,LEN('Execuções'!E91))),"")</x:f>
      </x:c>
      <x:c r="K91" t="str">
        <x:f>LEFT(J91,FIND(";",J91&amp;";")-1)</x:f>
      </x:c>
      <x:c r="L91" t="str">
        <x:f>IF(LEN(J91)&gt;LEN(K91),TRIM(MID(J91,LEN(K91)+2,LEN(J91))),"")</x:f>
      </x:c>
    </x:row>
    <x:row r="92">
      <x:c r="H92" t="n">
        <x:f>IF(AND('Execuções'!B92&lt;&gt;"",'Execuções'!C92&lt;&gt;"",ISNUMBER('Execuções'!K92),COUNTIF('Execuções'!$AC$3:$AC$7,'Execuções'!D92)=1,COUNTIFS('Execuções'!$B$9:$B$158,'Execuções'!B92,'Execuções'!$C$9:$C$158,'Execuções'!C92,'Execuções'!$D$9:$D$158,'Execuções'!D92)=1),1,0)</x:f>
        <x:v>0</x:v>
      </x:c>
      <x:c r="I92" t="str">
        <x:f>IF($H92=1,LEFT('Execuções'!E92,FIND(";",'Execuções'!E92&amp;";")-1),"")</x:f>
      </x:c>
      <x:c r="J92" t="str">
        <x:f>IF($H92=1,TRIM(MID('Execuções'!E92,LEN(I92)+2,LEN('Execuções'!E92))),"")</x:f>
      </x:c>
      <x:c r="K92" t="str">
        <x:f>LEFT(J92,FIND(";",J92&amp;";")-1)</x:f>
      </x:c>
      <x:c r="L92" t="str">
        <x:f>IF(LEN(J92)&gt;LEN(K92),TRIM(MID(J92,LEN(K92)+2,LEN(J92))),"")</x:f>
      </x:c>
    </x:row>
    <x:row r="93">
      <x:c r="H93" t="n">
        <x:f>IF(AND('Execuções'!B93&lt;&gt;"",'Execuções'!C93&lt;&gt;"",ISNUMBER('Execuções'!K93),COUNTIF('Execuções'!$AC$3:$AC$7,'Execuções'!D93)=1,COUNTIFS('Execuções'!$B$9:$B$158,'Execuções'!B93,'Execuções'!$C$9:$C$158,'Execuções'!C93,'Execuções'!$D$9:$D$158,'Execuções'!D93)=1),1,0)</x:f>
        <x:v>0</x:v>
      </x:c>
      <x:c r="I93" t="str">
        <x:f>IF($H93=1,LEFT('Execuções'!E93,FIND(";",'Execuções'!E93&amp;";")-1),"")</x:f>
      </x:c>
      <x:c r="J93" t="str">
        <x:f>IF($H93=1,TRIM(MID('Execuções'!E93,LEN(I93)+2,LEN('Execuções'!E93))),"")</x:f>
      </x:c>
      <x:c r="K93" t="str">
        <x:f>LEFT(J93,FIND(";",J93&amp;";")-1)</x:f>
      </x:c>
      <x:c r="L93" t="str">
        <x:f>IF(LEN(J93)&gt;LEN(K93),TRIM(MID(J93,LEN(K93)+2,LEN(J93))),"")</x:f>
      </x:c>
    </x:row>
    <x:row r="94">
      <x:c r="H94" t="n">
        <x:f>IF(AND('Execuções'!B94&lt;&gt;"",'Execuções'!C94&lt;&gt;"",ISNUMBER('Execuções'!K94),COUNTIF('Execuções'!$AC$3:$AC$7,'Execuções'!D94)=1,COUNTIFS('Execuções'!$B$9:$B$158,'Execuções'!B94,'Execuções'!$C$9:$C$158,'Execuções'!C94,'Execuções'!$D$9:$D$158,'Execuções'!D94)=1),1,0)</x:f>
        <x:v>0</x:v>
      </x:c>
      <x:c r="I94" t="str">
        <x:f>IF($H94=1,LEFT('Execuções'!E94,FIND(";",'Execuções'!E94&amp;";")-1),"")</x:f>
      </x:c>
      <x:c r="J94" t="str">
        <x:f>IF($H94=1,TRIM(MID('Execuções'!E94,LEN(I94)+2,LEN('Execuções'!E94))),"")</x:f>
      </x:c>
      <x:c r="K94" t="str">
        <x:f>LEFT(J94,FIND(";",J94&amp;";")-1)</x:f>
      </x:c>
      <x:c r="L94" t="str">
        <x:f>IF(LEN(J94)&gt;LEN(K94),TRIM(MID(J94,LEN(K94)+2,LEN(J94))),"")</x:f>
      </x:c>
    </x:row>
    <x:row r="95">
      <x:c r="H95" t="n">
        <x:f>IF(AND('Execuções'!B95&lt;&gt;"",'Execuções'!C95&lt;&gt;"",ISNUMBER('Execuções'!K95),COUNTIF('Execuções'!$AC$3:$AC$7,'Execuções'!D95)=1,COUNTIFS('Execuções'!$B$9:$B$158,'Execuções'!B95,'Execuções'!$C$9:$C$158,'Execuções'!C95,'Execuções'!$D$9:$D$158,'Execuções'!D95)=1),1,0)</x:f>
        <x:v>0</x:v>
      </x:c>
      <x:c r="I95" t="str">
        <x:f>IF($H95=1,LEFT('Execuções'!E95,FIND(";",'Execuções'!E95&amp;";")-1),"")</x:f>
      </x:c>
      <x:c r="J95" t="str">
        <x:f>IF($H95=1,TRIM(MID('Execuções'!E95,LEN(I95)+2,LEN('Execuções'!E95))),"")</x:f>
      </x:c>
      <x:c r="K95" t="str">
        <x:f>LEFT(J95,FIND(";",J95&amp;";")-1)</x:f>
      </x:c>
      <x:c r="L95" t="str">
        <x:f>IF(LEN(J95)&gt;LEN(K95),TRIM(MID(J95,LEN(K95)+2,LEN(J95))),"")</x:f>
      </x:c>
    </x:row>
    <x:row r="96">
      <x:c r="H96" t="n">
        <x:f>IF(AND('Execuções'!B96&lt;&gt;"",'Execuções'!C96&lt;&gt;"",ISNUMBER('Execuções'!K96),COUNTIF('Execuções'!$AC$3:$AC$7,'Execuções'!D96)=1,COUNTIFS('Execuções'!$B$9:$B$158,'Execuções'!B96,'Execuções'!$C$9:$C$158,'Execuções'!C96,'Execuções'!$D$9:$D$158,'Execuções'!D96)=1),1,0)</x:f>
        <x:v>0</x:v>
      </x:c>
      <x:c r="I96" t="str">
        <x:f>IF($H96=1,LEFT('Execuções'!E96,FIND(";",'Execuções'!E96&amp;";")-1),"")</x:f>
      </x:c>
      <x:c r="J96" t="str">
        <x:f>IF($H96=1,TRIM(MID('Execuções'!E96,LEN(I96)+2,LEN('Execuções'!E96))),"")</x:f>
      </x:c>
      <x:c r="K96" t="str">
        <x:f>LEFT(J96,FIND(";",J96&amp;";")-1)</x:f>
      </x:c>
      <x:c r="L96" t="str">
        <x:f>IF(LEN(J96)&gt;LEN(K96),TRIM(MID(J96,LEN(K96)+2,LEN(J96))),"")</x:f>
      </x:c>
    </x:row>
    <x:row r="97">
      <x:c r="H97" t="n">
        <x:f>IF(AND('Execuções'!B97&lt;&gt;"",'Execuções'!C97&lt;&gt;"",ISNUMBER('Execuções'!K97),COUNTIF('Execuções'!$AC$3:$AC$7,'Execuções'!D97)=1,COUNTIFS('Execuções'!$B$9:$B$158,'Execuções'!B97,'Execuções'!$C$9:$C$158,'Execuções'!C97,'Execuções'!$D$9:$D$158,'Execuções'!D97)=1),1,0)</x:f>
        <x:v>0</x:v>
      </x:c>
      <x:c r="I97" t="str">
        <x:f>IF($H97=1,LEFT('Execuções'!E97,FIND(";",'Execuções'!E97&amp;";")-1),"")</x:f>
      </x:c>
      <x:c r="J97" t="str">
        <x:f>IF($H97=1,TRIM(MID('Execuções'!E97,LEN(I97)+2,LEN('Execuções'!E97))),"")</x:f>
      </x:c>
      <x:c r="K97" t="str">
        <x:f>LEFT(J97,FIND(";",J97&amp;";")-1)</x:f>
      </x:c>
      <x:c r="L97" t="str">
        <x:f>IF(LEN(J97)&gt;LEN(K97),TRIM(MID(J97,LEN(K97)+2,LEN(J97))),"")</x:f>
      </x:c>
    </x:row>
    <x:row r="98">
      <x:c r="H98" t="n">
        <x:f>IF(AND('Execuções'!B98&lt;&gt;"",'Execuções'!C98&lt;&gt;"",ISNUMBER('Execuções'!K98),COUNTIF('Execuções'!$AC$3:$AC$7,'Execuções'!D98)=1,COUNTIFS('Execuções'!$B$9:$B$158,'Execuções'!B98,'Execuções'!$C$9:$C$158,'Execuções'!C98,'Execuções'!$D$9:$D$158,'Execuções'!D98)=1),1,0)</x:f>
        <x:v>0</x:v>
      </x:c>
      <x:c r="I98" t="str">
        <x:f>IF($H98=1,LEFT('Execuções'!E98,FIND(";",'Execuções'!E98&amp;";")-1),"")</x:f>
      </x:c>
      <x:c r="J98" t="str">
        <x:f>IF($H98=1,TRIM(MID('Execuções'!E98,LEN(I98)+2,LEN('Execuções'!E98))),"")</x:f>
      </x:c>
      <x:c r="K98" t="str">
        <x:f>LEFT(J98,FIND(";",J98&amp;";")-1)</x:f>
      </x:c>
      <x:c r="L98" t="str">
        <x:f>IF(LEN(J98)&gt;LEN(K98),TRIM(MID(J98,LEN(K98)+2,LEN(J98))),"")</x:f>
      </x:c>
    </x:row>
    <x:row r="99">
      <x:c r="H99" t="n">
        <x:f>IF(AND('Execuções'!B99&lt;&gt;"",'Execuções'!C99&lt;&gt;"",ISNUMBER('Execuções'!K99),COUNTIF('Execuções'!$AC$3:$AC$7,'Execuções'!D99)=1,COUNTIFS('Execuções'!$B$9:$B$158,'Execuções'!B99,'Execuções'!$C$9:$C$158,'Execuções'!C99,'Execuções'!$D$9:$D$158,'Execuções'!D99)=1),1,0)</x:f>
        <x:v>0</x:v>
      </x:c>
      <x:c r="I99" t="str">
        <x:f>IF($H99=1,LEFT('Execuções'!E99,FIND(";",'Execuções'!E99&amp;";")-1),"")</x:f>
      </x:c>
      <x:c r="J99" t="str">
        <x:f>IF($H99=1,TRIM(MID('Execuções'!E99,LEN(I99)+2,LEN('Execuções'!E99))),"")</x:f>
      </x:c>
      <x:c r="K99" t="str">
        <x:f>LEFT(J99,FIND(";",J99&amp;";")-1)</x:f>
      </x:c>
      <x:c r="L99" t="str">
        <x:f>IF(LEN(J99)&gt;LEN(K99),TRIM(MID(J99,LEN(K99)+2,LEN(J99))),"")</x:f>
      </x:c>
    </x:row>
    <x:row r="100">
      <x:c r="H100" t="n">
        <x:f>IF(AND('Execuções'!B100&lt;&gt;"",'Execuções'!C100&lt;&gt;"",ISNUMBER('Execuções'!K100),COUNTIF('Execuções'!$AC$3:$AC$7,'Execuções'!D100)=1,COUNTIFS('Execuções'!$B$9:$B$158,'Execuções'!B100,'Execuções'!$C$9:$C$158,'Execuções'!C100,'Execuções'!$D$9:$D$158,'Execuções'!D100)=1),1,0)</x:f>
        <x:v>0</x:v>
      </x:c>
      <x:c r="I100" t="str">
        <x:f>IF($H100=1,LEFT('Execuções'!E100,FIND(";",'Execuções'!E100&amp;";")-1),"")</x:f>
      </x:c>
      <x:c r="J100" t="str">
        <x:f>IF($H100=1,TRIM(MID('Execuções'!E100,LEN(I100)+2,LEN('Execuções'!E100))),"")</x:f>
      </x:c>
      <x:c r="K100" t="str">
        <x:f>LEFT(J100,FIND(";",J100&amp;";")-1)</x:f>
      </x:c>
      <x:c r="L100" t="str">
        <x:f>IF(LEN(J100)&gt;LEN(K100),TRIM(MID(J100,LEN(K100)+2,LEN(J100))),"")</x:f>
      </x:c>
    </x:row>
    <x:row r="101">
      <x:c r="H101" t="n">
        <x:f>IF(AND('Execuções'!B101&lt;&gt;"",'Execuções'!C101&lt;&gt;"",ISNUMBER('Execuções'!K101),COUNTIF('Execuções'!$AC$3:$AC$7,'Execuções'!D101)=1,COUNTIFS('Execuções'!$B$9:$B$158,'Execuções'!B101,'Execuções'!$C$9:$C$158,'Execuções'!C101,'Execuções'!$D$9:$D$158,'Execuções'!D101)=1),1,0)</x:f>
        <x:v>0</x:v>
      </x:c>
      <x:c r="I101" t="str">
        <x:f>IF($H101=1,LEFT('Execuções'!E101,FIND(";",'Execuções'!E101&amp;";")-1),"")</x:f>
      </x:c>
      <x:c r="J101" t="str">
        <x:f>IF($H101=1,TRIM(MID('Execuções'!E101,LEN(I101)+2,LEN('Execuções'!E101))),"")</x:f>
      </x:c>
      <x:c r="K101" t="str">
        <x:f>LEFT(J101,FIND(";",J101&amp;";")-1)</x:f>
      </x:c>
      <x:c r="L101" t="str">
        <x:f>IF(LEN(J101)&gt;LEN(K101),TRIM(MID(J101,LEN(K101)+2,LEN(J101))),"")</x:f>
      </x:c>
    </x:row>
    <x:row r="102">
      <x:c r="H102" t="n">
        <x:f>IF(AND('Execuções'!B102&lt;&gt;"",'Execuções'!C102&lt;&gt;"",ISNUMBER('Execuções'!K102),COUNTIF('Execuções'!$AC$3:$AC$7,'Execuções'!D102)=1,COUNTIFS('Execuções'!$B$9:$B$158,'Execuções'!B102,'Execuções'!$C$9:$C$158,'Execuções'!C102,'Execuções'!$D$9:$D$158,'Execuções'!D102)=1),1,0)</x:f>
        <x:v>0</x:v>
      </x:c>
      <x:c r="I102" t="str">
        <x:f>IF($H102=1,LEFT('Execuções'!E102,FIND(";",'Execuções'!E102&amp;";")-1),"")</x:f>
      </x:c>
      <x:c r="J102" t="str">
        <x:f>IF($H102=1,TRIM(MID('Execuções'!E102,LEN(I102)+2,LEN('Execuções'!E102))),"")</x:f>
      </x:c>
      <x:c r="K102" t="str">
        <x:f>LEFT(J102,FIND(";",J102&amp;";")-1)</x:f>
      </x:c>
      <x:c r="L102" t="str">
        <x:f>IF(LEN(J102)&gt;LEN(K102),TRIM(MID(J102,LEN(K102)+2,LEN(J102))),"")</x:f>
      </x:c>
    </x:row>
    <x:row r="103">
      <x:c r="H103" t="n">
        <x:f>IF(AND('Execuções'!B103&lt;&gt;"",'Execuções'!C103&lt;&gt;"",ISNUMBER('Execuções'!K103),COUNTIF('Execuções'!$AC$3:$AC$7,'Execuções'!D103)=1,COUNTIFS('Execuções'!$B$9:$B$158,'Execuções'!B103,'Execuções'!$C$9:$C$158,'Execuções'!C103,'Execuções'!$D$9:$D$158,'Execuções'!D103)=1),1,0)</x:f>
        <x:v>0</x:v>
      </x:c>
      <x:c r="I103" t="str">
        <x:f>IF($H103=1,LEFT('Execuções'!E103,FIND(";",'Execuções'!E103&amp;";")-1),"")</x:f>
      </x:c>
      <x:c r="J103" t="str">
        <x:f>IF($H103=1,TRIM(MID('Execuções'!E103,LEN(I103)+2,LEN('Execuções'!E103))),"")</x:f>
      </x:c>
      <x:c r="K103" t="str">
        <x:f>LEFT(J103,FIND(";",J103&amp;";")-1)</x:f>
      </x:c>
      <x:c r="L103" t="str">
        <x:f>IF(LEN(J103)&gt;LEN(K103),TRIM(MID(J103,LEN(K103)+2,LEN(J103))),"")</x:f>
      </x:c>
    </x:row>
    <x:row r="104">
      <x:c r="H104" t="n">
        <x:f>IF(AND('Execuções'!B104&lt;&gt;"",'Execuções'!C104&lt;&gt;"",ISNUMBER('Execuções'!K104),COUNTIF('Execuções'!$AC$3:$AC$7,'Execuções'!D104)=1,COUNTIFS('Execuções'!$B$9:$B$158,'Execuções'!B104,'Execuções'!$C$9:$C$158,'Execuções'!C104,'Execuções'!$D$9:$D$158,'Execuções'!D104)=1),1,0)</x:f>
        <x:v>0</x:v>
      </x:c>
      <x:c r="I104" t="str">
        <x:f>IF($H104=1,LEFT('Execuções'!E104,FIND(";",'Execuções'!E104&amp;";")-1),"")</x:f>
      </x:c>
      <x:c r="J104" t="str">
        <x:f>IF($H104=1,TRIM(MID('Execuções'!E104,LEN(I104)+2,LEN('Execuções'!E104))),"")</x:f>
      </x:c>
      <x:c r="K104" t="str">
        <x:f>LEFT(J104,FIND(";",J104&amp;";")-1)</x:f>
      </x:c>
      <x:c r="L104" t="str">
        <x:f>IF(LEN(J104)&gt;LEN(K104),TRIM(MID(J104,LEN(K104)+2,LEN(J104))),"")</x:f>
      </x:c>
    </x:row>
    <x:row r="105">
      <x:c r="H105" t="n">
        <x:f>IF(AND('Execuções'!B105&lt;&gt;"",'Execuções'!C105&lt;&gt;"",ISNUMBER('Execuções'!K105),COUNTIF('Execuções'!$AC$3:$AC$7,'Execuções'!D105)=1,COUNTIFS('Execuções'!$B$9:$B$158,'Execuções'!B105,'Execuções'!$C$9:$C$158,'Execuções'!C105,'Execuções'!$D$9:$D$158,'Execuções'!D105)=1),1,0)</x:f>
        <x:v>0</x:v>
      </x:c>
      <x:c r="I105" t="str">
        <x:f>IF($H105=1,LEFT('Execuções'!E105,FIND(";",'Execuções'!E105&amp;";")-1),"")</x:f>
      </x:c>
      <x:c r="J105" t="str">
        <x:f>IF($H105=1,TRIM(MID('Execuções'!E105,LEN(I105)+2,LEN('Execuções'!E105))),"")</x:f>
      </x:c>
      <x:c r="K105" t="str">
        <x:f>LEFT(J105,FIND(";",J105&amp;";")-1)</x:f>
      </x:c>
      <x:c r="L105" t="str">
        <x:f>IF(LEN(J105)&gt;LEN(K105),TRIM(MID(J105,LEN(K105)+2,LEN(J105))),"")</x:f>
      </x:c>
    </x:row>
    <x:row r="106">
      <x:c r="H106" t="n">
        <x:f>IF(AND('Execuções'!B106&lt;&gt;"",'Execuções'!C106&lt;&gt;"",ISNUMBER('Execuções'!K106),COUNTIF('Execuções'!$AC$3:$AC$7,'Execuções'!D106)=1,COUNTIFS('Execuções'!$B$9:$B$158,'Execuções'!B106,'Execuções'!$C$9:$C$158,'Execuções'!C106,'Execuções'!$D$9:$D$158,'Execuções'!D106)=1),1,0)</x:f>
        <x:v>0</x:v>
      </x:c>
      <x:c r="I106" t="str">
        <x:f>IF($H106=1,LEFT('Execuções'!E106,FIND(";",'Execuções'!E106&amp;";")-1),"")</x:f>
      </x:c>
      <x:c r="J106" t="str">
        <x:f>IF($H106=1,TRIM(MID('Execuções'!E106,LEN(I106)+2,LEN('Execuções'!E106))),"")</x:f>
      </x:c>
      <x:c r="K106" t="str">
        <x:f>LEFT(J106,FIND(";",J106&amp;";")-1)</x:f>
      </x:c>
      <x:c r="L106" t="str">
        <x:f>IF(LEN(J106)&gt;LEN(K106),TRIM(MID(J106,LEN(K106)+2,LEN(J106))),"")</x:f>
      </x:c>
    </x:row>
    <x:row r="107">
      <x:c r="H107" t="n">
        <x:f>IF(AND('Execuções'!B107&lt;&gt;"",'Execuções'!C107&lt;&gt;"",ISNUMBER('Execuções'!K107),COUNTIF('Execuções'!$AC$3:$AC$7,'Execuções'!D107)=1,COUNTIFS('Execuções'!$B$9:$B$158,'Execuções'!B107,'Execuções'!$C$9:$C$158,'Execuções'!C107,'Execuções'!$D$9:$D$158,'Execuções'!D107)=1),1,0)</x:f>
        <x:v>0</x:v>
      </x:c>
      <x:c r="I107" t="str">
        <x:f>IF($H107=1,LEFT('Execuções'!E107,FIND(";",'Execuções'!E107&amp;";")-1),"")</x:f>
      </x:c>
      <x:c r="J107" t="str">
        <x:f>IF($H107=1,TRIM(MID('Execuções'!E107,LEN(I107)+2,LEN('Execuções'!E107))),"")</x:f>
      </x:c>
      <x:c r="K107" t="str">
        <x:f>LEFT(J107,FIND(";",J107&amp;";")-1)</x:f>
      </x:c>
      <x:c r="L107" t="str">
        <x:f>IF(LEN(J107)&gt;LEN(K107),TRIM(MID(J107,LEN(K107)+2,LEN(J107))),"")</x:f>
      </x:c>
    </x:row>
    <x:row r="108">
      <x:c r="H108" t="n">
        <x:f>IF(AND('Execuções'!B108&lt;&gt;"",'Execuções'!C108&lt;&gt;"",ISNUMBER('Execuções'!K108),COUNTIF('Execuções'!$AC$3:$AC$7,'Execuções'!D108)=1,COUNTIFS('Execuções'!$B$9:$B$158,'Execuções'!B108,'Execuções'!$C$9:$C$158,'Execuções'!C108,'Execuções'!$D$9:$D$158,'Execuções'!D108)=1),1,0)</x:f>
        <x:v>0</x:v>
      </x:c>
      <x:c r="I108" t="str">
        <x:f>IF($H108=1,LEFT('Execuções'!E108,FIND(";",'Execuções'!E108&amp;";")-1),"")</x:f>
      </x:c>
      <x:c r="J108" t="str">
        <x:f>IF($H108=1,TRIM(MID('Execuções'!E108,LEN(I108)+2,LEN('Execuções'!E108))),"")</x:f>
      </x:c>
      <x:c r="K108" t="str">
        <x:f>LEFT(J108,FIND(";",J108&amp;";")-1)</x:f>
      </x:c>
      <x:c r="L108" t="str">
        <x:f>IF(LEN(J108)&gt;LEN(K108),TRIM(MID(J108,LEN(K108)+2,LEN(J108))),"")</x:f>
      </x:c>
    </x:row>
    <x:row r="109">
      <x:c r="H109" t="n">
        <x:f>IF(AND('Execuções'!B109&lt;&gt;"",'Execuções'!C109&lt;&gt;"",ISNUMBER('Execuções'!K109),COUNTIF('Execuções'!$AC$3:$AC$7,'Execuções'!D109)=1,COUNTIFS('Execuções'!$B$9:$B$158,'Execuções'!B109,'Execuções'!$C$9:$C$158,'Execuções'!C109,'Execuções'!$D$9:$D$158,'Execuções'!D109)=1),1,0)</x:f>
        <x:v>0</x:v>
      </x:c>
      <x:c r="I109" t="str">
        <x:f>IF($H109=1,LEFT('Execuções'!E109,FIND(";",'Execuções'!E109&amp;";")-1),"")</x:f>
      </x:c>
      <x:c r="J109" t="str">
        <x:f>IF($H109=1,TRIM(MID('Execuções'!E109,LEN(I109)+2,LEN('Execuções'!E109))),"")</x:f>
      </x:c>
      <x:c r="K109" t="str">
        <x:f>LEFT(J109,FIND(";",J109&amp;";")-1)</x:f>
      </x:c>
      <x:c r="L109" t="str">
        <x:f>IF(LEN(J109)&gt;LEN(K109),TRIM(MID(J109,LEN(K109)+2,LEN(J109))),"")</x:f>
      </x:c>
    </x:row>
    <x:row r="110">
      <x:c r="H110" t="n">
        <x:f>IF(AND('Execuções'!B110&lt;&gt;"",'Execuções'!C110&lt;&gt;"",ISNUMBER('Execuções'!K110),COUNTIF('Execuções'!$AC$3:$AC$7,'Execuções'!D110)=1,COUNTIFS('Execuções'!$B$9:$B$158,'Execuções'!B110,'Execuções'!$C$9:$C$158,'Execuções'!C110,'Execuções'!$D$9:$D$158,'Execuções'!D110)=1),1,0)</x:f>
        <x:v>0</x:v>
      </x:c>
      <x:c r="I110" t="str">
        <x:f>IF($H110=1,LEFT('Execuções'!E110,FIND(";",'Execuções'!E110&amp;";")-1),"")</x:f>
      </x:c>
      <x:c r="J110" t="str">
        <x:f>IF($H110=1,TRIM(MID('Execuções'!E110,LEN(I110)+2,LEN('Execuções'!E110))),"")</x:f>
      </x:c>
      <x:c r="K110" t="str">
        <x:f>LEFT(J110,FIND(";",J110&amp;";")-1)</x:f>
      </x:c>
      <x:c r="L110" t="str">
        <x:f>IF(LEN(J110)&gt;LEN(K110),TRIM(MID(J110,LEN(K110)+2,LEN(J110))),"")</x:f>
      </x:c>
    </x:row>
    <x:row r="111">
      <x:c r="H111" t="n">
        <x:f>IF(AND('Execuções'!B111&lt;&gt;"",'Execuções'!C111&lt;&gt;"",ISNUMBER('Execuções'!K111),COUNTIF('Execuções'!$AC$3:$AC$7,'Execuções'!D111)=1,COUNTIFS('Execuções'!$B$9:$B$158,'Execuções'!B111,'Execuções'!$C$9:$C$158,'Execuções'!C111,'Execuções'!$D$9:$D$158,'Execuções'!D111)=1),1,0)</x:f>
        <x:v>0</x:v>
      </x:c>
      <x:c r="I111" t="str">
        <x:f>IF($H111=1,LEFT('Execuções'!E111,FIND(";",'Execuções'!E111&amp;";")-1),"")</x:f>
      </x:c>
      <x:c r="J111" t="str">
        <x:f>IF($H111=1,TRIM(MID('Execuções'!E111,LEN(I111)+2,LEN('Execuções'!E111))),"")</x:f>
      </x:c>
      <x:c r="K111" t="str">
        <x:f>LEFT(J111,FIND(";",J111&amp;";")-1)</x:f>
      </x:c>
      <x:c r="L111" t="str">
        <x:f>IF(LEN(J111)&gt;LEN(K111),TRIM(MID(J111,LEN(K111)+2,LEN(J111))),"")</x:f>
      </x:c>
    </x:row>
    <x:row r="112">
      <x:c r="H112" t="n">
        <x:f>IF(AND('Execuções'!B112&lt;&gt;"",'Execuções'!C112&lt;&gt;"",ISNUMBER('Execuções'!K112),COUNTIF('Execuções'!$AC$3:$AC$7,'Execuções'!D112)=1,COUNTIFS('Execuções'!$B$9:$B$158,'Execuções'!B112,'Execuções'!$C$9:$C$158,'Execuções'!C112,'Execuções'!$D$9:$D$158,'Execuções'!D112)=1),1,0)</x:f>
        <x:v>0</x:v>
      </x:c>
      <x:c r="I112" t="str">
        <x:f>IF($H112=1,LEFT('Execuções'!E112,FIND(";",'Execuções'!E112&amp;";")-1),"")</x:f>
      </x:c>
      <x:c r="J112" t="str">
        <x:f>IF($H112=1,TRIM(MID('Execuções'!E112,LEN(I112)+2,LEN('Execuções'!E112))),"")</x:f>
      </x:c>
      <x:c r="K112" t="str">
        <x:f>LEFT(J112,FIND(";",J112&amp;";")-1)</x:f>
      </x:c>
      <x:c r="L112" t="str">
        <x:f>IF(LEN(J112)&gt;LEN(K112),TRIM(MID(J112,LEN(K112)+2,LEN(J112))),"")</x:f>
      </x:c>
    </x:row>
    <x:row r="113">
      <x:c r="H113" t="n">
        <x:f>IF(AND('Execuções'!B113&lt;&gt;"",'Execuções'!C113&lt;&gt;"",ISNUMBER('Execuções'!K113),COUNTIF('Execuções'!$AC$3:$AC$7,'Execuções'!D113)=1,COUNTIFS('Execuções'!$B$9:$B$158,'Execuções'!B113,'Execuções'!$C$9:$C$158,'Execuções'!C113,'Execuções'!$D$9:$D$158,'Execuções'!D113)=1),1,0)</x:f>
        <x:v>0</x:v>
      </x:c>
      <x:c r="I113" t="str">
        <x:f>IF($H113=1,LEFT('Execuções'!E113,FIND(";",'Execuções'!E113&amp;";")-1),"")</x:f>
      </x:c>
      <x:c r="J113" t="str">
        <x:f>IF($H113=1,TRIM(MID('Execuções'!E113,LEN(I113)+2,LEN('Execuções'!E113))),"")</x:f>
      </x:c>
      <x:c r="K113" t="str">
        <x:f>LEFT(J113,FIND(";",J113&amp;";")-1)</x:f>
      </x:c>
      <x:c r="L113" t="str">
        <x:f>IF(LEN(J113)&gt;LEN(K113),TRIM(MID(J113,LEN(K113)+2,LEN(J113))),"")</x:f>
      </x:c>
    </x:row>
    <x:row r="114">
      <x:c r="H114" t="n">
        <x:f>IF(AND('Execuções'!B114&lt;&gt;"",'Execuções'!C114&lt;&gt;"",ISNUMBER('Execuções'!K114),COUNTIF('Execuções'!$AC$3:$AC$7,'Execuções'!D114)=1,COUNTIFS('Execuções'!$B$9:$B$158,'Execuções'!B114,'Execuções'!$C$9:$C$158,'Execuções'!C114,'Execuções'!$D$9:$D$158,'Execuções'!D114)=1),1,0)</x:f>
        <x:v>0</x:v>
      </x:c>
      <x:c r="I114" t="str">
        <x:f>IF($H114=1,LEFT('Execuções'!E114,FIND(";",'Execuções'!E114&amp;";")-1),"")</x:f>
      </x:c>
      <x:c r="J114" t="str">
        <x:f>IF($H114=1,TRIM(MID('Execuções'!E114,LEN(I114)+2,LEN('Execuções'!E114))),"")</x:f>
      </x:c>
      <x:c r="K114" t="str">
        <x:f>LEFT(J114,FIND(";",J114&amp;";")-1)</x:f>
      </x:c>
      <x:c r="L114" t="str">
        <x:f>IF(LEN(J114)&gt;LEN(K114),TRIM(MID(J114,LEN(K114)+2,LEN(J114))),"")</x:f>
      </x:c>
    </x:row>
    <x:row r="115">
      <x:c r="H115" t="n">
        <x:f>IF(AND('Execuções'!B115&lt;&gt;"",'Execuções'!C115&lt;&gt;"",ISNUMBER('Execuções'!K115),COUNTIF('Execuções'!$AC$3:$AC$7,'Execuções'!D115)=1,COUNTIFS('Execuções'!$B$9:$B$158,'Execuções'!B115,'Execuções'!$C$9:$C$158,'Execuções'!C115,'Execuções'!$D$9:$D$158,'Execuções'!D115)=1),1,0)</x:f>
        <x:v>0</x:v>
      </x:c>
      <x:c r="I115" t="str">
        <x:f>IF($H115=1,LEFT('Execuções'!E115,FIND(";",'Execuções'!E115&amp;";")-1),"")</x:f>
      </x:c>
      <x:c r="J115" t="str">
        <x:f>IF($H115=1,TRIM(MID('Execuções'!E115,LEN(I115)+2,LEN('Execuções'!E115))),"")</x:f>
      </x:c>
      <x:c r="K115" t="str">
        <x:f>LEFT(J115,FIND(";",J115&amp;";")-1)</x:f>
      </x:c>
      <x:c r="L115" t="str">
        <x:f>IF(LEN(J115)&gt;LEN(K115),TRIM(MID(J115,LEN(K115)+2,LEN(J115))),"")</x:f>
      </x:c>
    </x:row>
    <x:row r="116">
      <x:c r="H116" t="n">
        <x:f>IF(AND('Execuções'!B116&lt;&gt;"",'Execuções'!C116&lt;&gt;"",ISNUMBER('Execuções'!K116),COUNTIF('Execuções'!$AC$3:$AC$7,'Execuções'!D116)=1,COUNTIFS('Execuções'!$B$9:$B$158,'Execuções'!B116,'Execuções'!$C$9:$C$158,'Execuções'!C116,'Execuções'!$D$9:$D$158,'Execuções'!D116)=1),1,0)</x:f>
        <x:v>0</x:v>
      </x:c>
      <x:c r="I116" t="str">
        <x:f>IF($H116=1,LEFT('Execuções'!E116,FIND(";",'Execuções'!E116&amp;";")-1),"")</x:f>
      </x:c>
      <x:c r="J116" t="str">
        <x:f>IF($H116=1,TRIM(MID('Execuções'!E116,LEN(I116)+2,LEN('Execuções'!E116))),"")</x:f>
      </x:c>
      <x:c r="K116" t="str">
        <x:f>LEFT(J116,FIND(";",J116&amp;";")-1)</x:f>
      </x:c>
      <x:c r="L116" t="str">
        <x:f>IF(LEN(J116)&gt;LEN(K116),TRIM(MID(J116,LEN(K116)+2,LEN(J116))),"")</x:f>
      </x:c>
    </x:row>
    <x:row r="117">
      <x:c r="H117" t="n">
        <x:f>IF(AND('Execuções'!B117&lt;&gt;"",'Execuções'!C117&lt;&gt;"",ISNUMBER('Execuções'!K117),COUNTIF('Execuções'!$AC$3:$AC$7,'Execuções'!D117)=1,COUNTIFS('Execuções'!$B$9:$B$158,'Execuções'!B117,'Execuções'!$C$9:$C$158,'Execuções'!C117,'Execuções'!$D$9:$D$158,'Execuções'!D117)=1),1,0)</x:f>
        <x:v>0</x:v>
      </x:c>
      <x:c r="I117" t="str">
        <x:f>IF($H117=1,LEFT('Execuções'!E117,FIND(";",'Execuções'!E117&amp;";")-1),"")</x:f>
      </x:c>
      <x:c r="J117" t="str">
        <x:f>IF($H117=1,TRIM(MID('Execuções'!E117,LEN(I117)+2,LEN('Execuções'!E117))),"")</x:f>
      </x:c>
      <x:c r="K117" t="str">
        <x:f>LEFT(J117,FIND(";",J117&amp;";")-1)</x:f>
      </x:c>
      <x:c r="L117" t="str">
        <x:f>IF(LEN(J117)&gt;LEN(K117),TRIM(MID(J117,LEN(K117)+2,LEN(J117))),"")</x:f>
      </x:c>
    </x:row>
    <x:row r="118">
      <x:c r="H118" t="n">
        <x:f>IF(AND('Execuções'!B118&lt;&gt;"",'Execuções'!C118&lt;&gt;"",ISNUMBER('Execuções'!K118),COUNTIF('Execuções'!$AC$3:$AC$7,'Execuções'!D118)=1,COUNTIFS('Execuções'!$B$9:$B$158,'Execuções'!B118,'Execuções'!$C$9:$C$158,'Execuções'!C118,'Execuções'!$D$9:$D$158,'Execuções'!D118)=1),1,0)</x:f>
        <x:v>0</x:v>
      </x:c>
      <x:c r="I118" t="str">
        <x:f>IF($H118=1,LEFT('Execuções'!E118,FIND(";",'Execuções'!E118&amp;";")-1),"")</x:f>
      </x:c>
      <x:c r="J118" t="str">
        <x:f>IF($H118=1,TRIM(MID('Execuções'!E118,LEN(I118)+2,LEN('Execuções'!E118))),"")</x:f>
      </x:c>
      <x:c r="K118" t="str">
        <x:f>LEFT(J118,FIND(";",J118&amp;";")-1)</x:f>
      </x:c>
      <x:c r="L118" t="str">
        <x:f>IF(LEN(J118)&gt;LEN(K118),TRIM(MID(J118,LEN(K118)+2,LEN(J118))),"")</x:f>
      </x:c>
    </x:row>
    <x:row r="119">
      <x:c r="H119" t="n">
        <x:f>IF(AND('Execuções'!B119&lt;&gt;"",'Execuções'!C119&lt;&gt;"",ISNUMBER('Execuções'!K119),COUNTIF('Execuções'!$AC$3:$AC$7,'Execuções'!D119)=1,COUNTIFS('Execuções'!$B$9:$B$158,'Execuções'!B119,'Execuções'!$C$9:$C$158,'Execuções'!C119,'Execuções'!$D$9:$D$158,'Execuções'!D119)=1),1,0)</x:f>
        <x:v>0</x:v>
      </x:c>
      <x:c r="I119" t="str">
        <x:f>IF($H119=1,LEFT('Execuções'!E119,FIND(";",'Execuções'!E119&amp;";")-1),"")</x:f>
      </x:c>
      <x:c r="J119" t="str">
        <x:f>IF($H119=1,TRIM(MID('Execuções'!E119,LEN(I119)+2,LEN('Execuções'!E119))),"")</x:f>
      </x:c>
      <x:c r="K119" t="str">
        <x:f>LEFT(J119,FIND(";",J119&amp;";")-1)</x:f>
      </x:c>
      <x:c r="L119" t="str">
        <x:f>IF(LEN(J119)&gt;LEN(K119),TRIM(MID(J119,LEN(K119)+2,LEN(J119))),"")</x:f>
      </x:c>
    </x:row>
    <x:row r="120">
      <x:c r="H120" t="n">
        <x:f>IF(AND('Execuções'!B120&lt;&gt;"",'Execuções'!C120&lt;&gt;"",ISNUMBER('Execuções'!K120),COUNTIF('Execuções'!$AC$3:$AC$7,'Execuções'!D120)=1,COUNTIFS('Execuções'!$B$9:$B$158,'Execuções'!B120,'Execuções'!$C$9:$C$158,'Execuções'!C120,'Execuções'!$D$9:$D$158,'Execuções'!D120)=1),1,0)</x:f>
        <x:v>0</x:v>
      </x:c>
      <x:c r="I120" t="str">
        <x:f>IF($H120=1,LEFT('Execuções'!E120,FIND(";",'Execuções'!E120&amp;";")-1),"")</x:f>
      </x:c>
      <x:c r="J120" t="str">
        <x:f>IF($H120=1,TRIM(MID('Execuções'!E120,LEN(I120)+2,LEN('Execuções'!E120))),"")</x:f>
      </x:c>
      <x:c r="K120" t="str">
        <x:f>LEFT(J120,FIND(";",J120&amp;";")-1)</x:f>
      </x:c>
      <x:c r="L120" t="str">
        <x:f>IF(LEN(J120)&gt;LEN(K120),TRIM(MID(J120,LEN(K120)+2,LEN(J120))),"")</x:f>
      </x:c>
    </x:row>
    <x:row r="121">
      <x:c r="H121" t="n">
        <x:f>IF(AND('Execuções'!B121&lt;&gt;"",'Execuções'!C121&lt;&gt;"",ISNUMBER('Execuções'!K121),COUNTIF('Execuções'!$AC$3:$AC$7,'Execuções'!D121)=1,COUNTIFS('Execuções'!$B$9:$B$158,'Execuções'!B121,'Execuções'!$C$9:$C$158,'Execuções'!C121,'Execuções'!$D$9:$D$158,'Execuções'!D121)=1),1,0)</x:f>
        <x:v>0</x:v>
      </x:c>
      <x:c r="I121" t="str">
        <x:f>IF($H121=1,LEFT('Execuções'!E121,FIND(";",'Execuções'!E121&amp;";")-1),"")</x:f>
      </x:c>
      <x:c r="J121" t="str">
        <x:f>IF($H121=1,TRIM(MID('Execuções'!E121,LEN(I121)+2,LEN('Execuções'!E121))),"")</x:f>
      </x:c>
      <x:c r="K121" t="str">
        <x:f>LEFT(J121,FIND(";",J121&amp;";")-1)</x:f>
      </x:c>
      <x:c r="L121" t="str">
        <x:f>IF(LEN(J121)&gt;LEN(K121),TRIM(MID(J121,LEN(K121)+2,LEN(J121))),"")</x:f>
      </x:c>
    </x:row>
    <x:row r="122">
      <x:c r="H122" t="n">
        <x:f>IF(AND('Execuções'!B122&lt;&gt;"",'Execuções'!C122&lt;&gt;"",ISNUMBER('Execuções'!K122),COUNTIF('Execuções'!$AC$3:$AC$7,'Execuções'!D122)=1,COUNTIFS('Execuções'!$B$9:$B$158,'Execuções'!B122,'Execuções'!$C$9:$C$158,'Execuções'!C122,'Execuções'!$D$9:$D$158,'Execuções'!D122)=1),1,0)</x:f>
        <x:v>0</x:v>
      </x:c>
      <x:c r="I122" t="str">
        <x:f>IF($H122=1,LEFT('Execuções'!E122,FIND(";",'Execuções'!E122&amp;";")-1),"")</x:f>
      </x:c>
      <x:c r="J122" t="str">
        <x:f>IF($H122=1,TRIM(MID('Execuções'!E122,LEN(I122)+2,LEN('Execuções'!E122))),"")</x:f>
      </x:c>
      <x:c r="K122" t="str">
        <x:f>LEFT(J122,FIND(";",J122&amp;";")-1)</x:f>
      </x:c>
      <x:c r="L122" t="str">
        <x:f>IF(LEN(J122)&gt;LEN(K122),TRIM(MID(J122,LEN(K122)+2,LEN(J122))),"")</x:f>
      </x:c>
    </x:row>
    <x:row r="123">
      <x:c r="H123" t="n">
        <x:f>IF(AND('Execuções'!B123&lt;&gt;"",'Execuções'!C123&lt;&gt;"",ISNUMBER('Execuções'!K123),COUNTIF('Execuções'!$AC$3:$AC$7,'Execuções'!D123)=1,COUNTIFS('Execuções'!$B$9:$B$158,'Execuções'!B123,'Execuções'!$C$9:$C$158,'Execuções'!C123,'Execuções'!$D$9:$D$158,'Execuções'!D123)=1),1,0)</x:f>
        <x:v>0</x:v>
      </x:c>
      <x:c r="I123" t="str">
        <x:f>IF($H123=1,LEFT('Execuções'!E123,FIND(";",'Execuções'!E123&amp;";")-1),"")</x:f>
      </x:c>
      <x:c r="J123" t="str">
        <x:f>IF($H123=1,TRIM(MID('Execuções'!E123,LEN(I123)+2,LEN('Execuções'!E123))),"")</x:f>
      </x:c>
      <x:c r="K123" t="str">
        <x:f>LEFT(J123,FIND(";",J123&amp;";")-1)</x:f>
      </x:c>
      <x:c r="L123" t="str">
        <x:f>IF(LEN(J123)&gt;LEN(K123),TRIM(MID(J123,LEN(K123)+2,LEN(J123))),"")</x:f>
      </x:c>
    </x:row>
    <x:row r="124">
      <x:c r="H124" t="n">
        <x:f>IF(AND('Execuções'!B124&lt;&gt;"",'Execuções'!C124&lt;&gt;"",ISNUMBER('Execuções'!K124),COUNTIF('Execuções'!$AC$3:$AC$7,'Execuções'!D124)=1,COUNTIFS('Execuções'!$B$9:$B$158,'Execuções'!B124,'Execuções'!$C$9:$C$158,'Execuções'!C124,'Execuções'!$D$9:$D$158,'Execuções'!D124)=1),1,0)</x:f>
        <x:v>0</x:v>
      </x:c>
      <x:c r="I124" t="str">
        <x:f>IF($H124=1,LEFT('Execuções'!E124,FIND(";",'Execuções'!E124&amp;";")-1),"")</x:f>
      </x:c>
      <x:c r="J124" t="str">
        <x:f>IF($H124=1,TRIM(MID('Execuções'!E124,LEN(I124)+2,LEN('Execuções'!E124))),"")</x:f>
      </x:c>
      <x:c r="K124" t="str">
        <x:f>LEFT(J124,FIND(";",J124&amp;";")-1)</x:f>
      </x:c>
      <x:c r="L124" t="str">
        <x:f>IF(LEN(J124)&gt;LEN(K124),TRIM(MID(J124,LEN(K124)+2,LEN(J124))),"")</x:f>
      </x:c>
    </x:row>
    <x:row r="125">
      <x:c r="H125" t="n">
        <x:f>IF(AND('Execuções'!B125&lt;&gt;"",'Execuções'!C125&lt;&gt;"",ISNUMBER('Execuções'!K125),COUNTIF('Execuções'!$AC$3:$AC$7,'Execuções'!D125)=1,COUNTIFS('Execuções'!$B$9:$B$158,'Execuções'!B125,'Execuções'!$C$9:$C$158,'Execuções'!C125,'Execuções'!$D$9:$D$158,'Execuções'!D125)=1),1,0)</x:f>
        <x:v>0</x:v>
      </x:c>
      <x:c r="I125" t="str">
        <x:f>IF($H125=1,LEFT('Execuções'!E125,FIND(";",'Execuções'!E125&amp;";")-1),"")</x:f>
      </x:c>
      <x:c r="J125" t="str">
        <x:f>IF($H125=1,TRIM(MID('Execuções'!E125,LEN(I125)+2,LEN('Execuções'!E125))),"")</x:f>
      </x:c>
      <x:c r="K125" t="str">
        <x:f>LEFT(J125,FIND(";",J125&amp;";")-1)</x:f>
      </x:c>
      <x:c r="L125" t="str">
        <x:f>IF(LEN(J125)&gt;LEN(K125),TRIM(MID(J125,LEN(K125)+2,LEN(J125))),"")</x:f>
      </x:c>
    </x:row>
    <x:row r="126">
      <x:c r="H126" t="n">
        <x:f>IF(AND('Execuções'!B126&lt;&gt;"",'Execuções'!C126&lt;&gt;"",ISNUMBER('Execuções'!K126),COUNTIF('Execuções'!$AC$3:$AC$7,'Execuções'!D126)=1,COUNTIFS('Execuções'!$B$9:$B$158,'Execuções'!B126,'Execuções'!$C$9:$C$158,'Execuções'!C126,'Execuções'!$D$9:$D$158,'Execuções'!D126)=1),1,0)</x:f>
        <x:v>0</x:v>
      </x:c>
      <x:c r="I126" t="str">
        <x:f>IF($H126=1,LEFT('Execuções'!E126,FIND(";",'Execuções'!E126&amp;";")-1),"")</x:f>
      </x:c>
      <x:c r="J126" t="str">
        <x:f>IF($H126=1,TRIM(MID('Execuções'!E126,LEN(I126)+2,LEN('Execuções'!E126))),"")</x:f>
      </x:c>
      <x:c r="K126" t="str">
        <x:f>LEFT(J126,FIND(";",J126&amp;";")-1)</x:f>
      </x:c>
      <x:c r="L126" t="str">
        <x:f>IF(LEN(J126)&gt;LEN(K126),TRIM(MID(J126,LEN(K126)+2,LEN(J126))),"")</x:f>
      </x:c>
    </x:row>
    <x:row r="127">
      <x:c r="H127" t="n">
        <x:f>IF(AND('Execuções'!B127&lt;&gt;"",'Execuções'!C127&lt;&gt;"",ISNUMBER('Execuções'!K127),COUNTIF('Execuções'!$AC$3:$AC$7,'Execuções'!D127)=1,COUNTIFS('Execuções'!$B$9:$B$158,'Execuções'!B127,'Execuções'!$C$9:$C$158,'Execuções'!C127,'Execuções'!$D$9:$D$158,'Execuções'!D127)=1),1,0)</x:f>
        <x:v>0</x:v>
      </x:c>
      <x:c r="I127" t="str">
        <x:f>IF($H127=1,LEFT('Execuções'!E127,FIND(";",'Execuções'!E127&amp;";")-1),"")</x:f>
      </x:c>
      <x:c r="J127" t="str">
        <x:f>IF($H127=1,TRIM(MID('Execuções'!E127,LEN(I127)+2,LEN('Execuções'!E127))),"")</x:f>
      </x:c>
      <x:c r="K127" t="str">
        <x:f>LEFT(J127,FIND(";",J127&amp;";")-1)</x:f>
      </x:c>
      <x:c r="L127" t="str">
        <x:f>IF(LEN(J127)&gt;LEN(K127),TRIM(MID(J127,LEN(K127)+2,LEN(J127))),"")</x:f>
      </x:c>
    </x:row>
    <x:row r="128">
      <x:c r="H128" t="n">
        <x:f>IF(AND('Execuções'!B128&lt;&gt;"",'Execuções'!C128&lt;&gt;"",ISNUMBER('Execuções'!K128),COUNTIF('Execuções'!$AC$3:$AC$7,'Execuções'!D128)=1,COUNTIFS('Execuções'!$B$9:$B$158,'Execuções'!B128,'Execuções'!$C$9:$C$158,'Execuções'!C128,'Execuções'!$D$9:$D$158,'Execuções'!D128)=1),1,0)</x:f>
        <x:v>0</x:v>
      </x:c>
      <x:c r="I128" t="str">
        <x:f>IF($H128=1,LEFT('Execuções'!E128,FIND(";",'Execuções'!E128&amp;";")-1),"")</x:f>
      </x:c>
      <x:c r="J128" t="str">
        <x:f>IF($H128=1,TRIM(MID('Execuções'!E128,LEN(I128)+2,LEN('Execuções'!E128))),"")</x:f>
      </x:c>
      <x:c r="K128" t="str">
        <x:f>LEFT(J128,FIND(";",J128&amp;";")-1)</x:f>
      </x:c>
      <x:c r="L128" t="str">
        <x:f>IF(LEN(J128)&gt;LEN(K128),TRIM(MID(J128,LEN(K128)+2,LEN(J128))),"")</x:f>
      </x:c>
    </x:row>
    <x:row r="129">
      <x:c r="H129" t="n">
        <x:f>IF(AND('Execuções'!B129&lt;&gt;"",'Execuções'!C129&lt;&gt;"",ISNUMBER('Execuções'!K129),COUNTIF('Execuções'!$AC$3:$AC$7,'Execuções'!D129)=1,COUNTIFS('Execuções'!$B$9:$B$158,'Execuções'!B129,'Execuções'!$C$9:$C$158,'Execuções'!C129,'Execuções'!$D$9:$D$158,'Execuções'!D129)=1),1,0)</x:f>
        <x:v>0</x:v>
      </x:c>
      <x:c r="I129" t="str">
        <x:f>IF($H129=1,LEFT('Execuções'!E129,FIND(";",'Execuções'!E129&amp;";")-1),"")</x:f>
      </x:c>
      <x:c r="J129" t="str">
        <x:f>IF($H129=1,TRIM(MID('Execuções'!E129,LEN(I129)+2,LEN('Execuções'!E129))),"")</x:f>
      </x:c>
      <x:c r="K129" t="str">
        <x:f>LEFT(J129,FIND(";",J129&amp;";")-1)</x:f>
      </x:c>
      <x:c r="L129" t="str">
        <x:f>IF(LEN(J129)&gt;LEN(K129),TRIM(MID(J129,LEN(K129)+2,LEN(J129))),"")</x:f>
      </x:c>
    </x:row>
    <x:row r="130">
      <x:c r="H130" t="n">
        <x:f>IF(AND('Execuções'!B130&lt;&gt;"",'Execuções'!C130&lt;&gt;"",ISNUMBER('Execuções'!K130),COUNTIF('Execuções'!$AC$3:$AC$7,'Execuções'!D130)=1,COUNTIFS('Execuções'!$B$9:$B$158,'Execuções'!B130,'Execuções'!$C$9:$C$158,'Execuções'!C130,'Execuções'!$D$9:$D$158,'Execuções'!D130)=1),1,0)</x:f>
        <x:v>0</x:v>
      </x:c>
      <x:c r="I130" t="str">
        <x:f>IF($H130=1,LEFT('Execuções'!E130,FIND(";",'Execuções'!E130&amp;";")-1),"")</x:f>
      </x:c>
      <x:c r="J130" t="str">
        <x:f>IF($H130=1,TRIM(MID('Execuções'!E130,LEN(I130)+2,LEN('Execuções'!E130))),"")</x:f>
      </x:c>
      <x:c r="K130" t="str">
        <x:f>LEFT(J130,FIND(";",J130&amp;";")-1)</x:f>
      </x:c>
      <x:c r="L130" t="str">
        <x:f>IF(LEN(J130)&gt;LEN(K130),TRIM(MID(J130,LEN(K130)+2,LEN(J130))),"")</x:f>
      </x:c>
    </x:row>
    <x:row r="131">
      <x:c r="H131" t="n">
        <x:f>IF(AND('Execuções'!B131&lt;&gt;"",'Execuções'!C131&lt;&gt;"",ISNUMBER('Execuções'!K131),COUNTIF('Execuções'!$AC$3:$AC$7,'Execuções'!D131)=1,COUNTIFS('Execuções'!$B$9:$B$158,'Execuções'!B131,'Execuções'!$C$9:$C$158,'Execuções'!C131,'Execuções'!$D$9:$D$158,'Execuções'!D131)=1),1,0)</x:f>
        <x:v>0</x:v>
      </x:c>
      <x:c r="I131" t="str">
        <x:f>IF($H131=1,LEFT('Execuções'!E131,FIND(";",'Execuções'!E131&amp;";")-1),"")</x:f>
      </x:c>
      <x:c r="J131" t="str">
        <x:f>IF($H131=1,TRIM(MID('Execuções'!E131,LEN(I131)+2,LEN('Execuções'!E131))),"")</x:f>
      </x:c>
      <x:c r="K131" t="str">
        <x:f>LEFT(J131,FIND(";",J131&amp;";")-1)</x:f>
      </x:c>
      <x:c r="L131" t="str">
        <x:f>IF(LEN(J131)&gt;LEN(K131),TRIM(MID(J131,LEN(K131)+2,LEN(J131))),"")</x:f>
      </x:c>
    </x:row>
    <x:row r="132">
      <x:c r="H132" t="n">
        <x:f>IF(AND('Execuções'!B132&lt;&gt;"",'Execuções'!C132&lt;&gt;"",ISNUMBER('Execuções'!K132),COUNTIF('Execuções'!$AC$3:$AC$7,'Execuções'!D132)=1,COUNTIFS('Execuções'!$B$9:$B$158,'Execuções'!B132,'Execuções'!$C$9:$C$158,'Execuções'!C132,'Execuções'!$D$9:$D$158,'Execuções'!D132)=1),1,0)</x:f>
        <x:v>0</x:v>
      </x:c>
      <x:c r="I132" t="str">
        <x:f>IF($H132=1,LEFT('Execuções'!E132,FIND(";",'Execuções'!E132&amp;";")-1),"")</x:f>
      </x:c>
      <x:c r="J132" t="str">
        <x:f>IF($H132=1,TRIM(MID('Execuções'!E132,LEN(I132)+2,LEN('Execuções'!E132))),"")</x:f>
      </x:c>
      <x:c r="K132" t="str">
        <x:f>LEFT(J132,FIND(";",J132&amp;";")-1)</x:f>
      </x:c>
      <x:c r="L132" t="str">
        <x:f>IF(LEN(J132)&gt;LEN(K132),TRIM(MID(J132,LEN(K132)+2,LEN(J132))),"")</x:f>
      </x:c>
    </x:row>
    <x:row r="133">
      <x:c r="H133" t="n">
        <x:f>IF(AND('Execuções'!B133&lt;&gt;"",'Execuções'!C133&lt;&gt;"",ISNUMBER('Execuções'!K133),COUNTIF('Execuções'!$AC$3:$AC$7,'Execuções'!D133)=1,COUNTIFS('Execuções'!$B$9:$B$158,'Execuções'!B133,'Execuções'!$C$9:$C$158,'Execuções'!C133,'Execuções'!$D$9:$D$158,'Execuções'!D133)=1),1,0)</x:f>
        <x:v>0</x:v>
      </x:c>
      <x:c r="I133" t="str">
        <x:f>IF($H133=1,LEFT('Execuções'!E133,FIND(";",'Execuções'!E133&amp;";")-1),"")</x:f>
      </x:c>
      <x:c r="J133" t="str">
        <x:f>IF($H133=1,TRIM(MID('Execuções'!E133,LEN(I133)+2,LEN('Execuções'!E133))),"")</x:f>
      </x:c>
      <x:c r="K133" t="str">
        <x:f>LEFT(J133,FIND(";",J133&amp;";")-1)</x:f>
      </x:c>
      <x:c r="L133" t="str">
        <x:f>IF(LEN(J133)&gt;LEN(K133),TRIM(MID(J133,LEN(K133)+2,LEN(J133))),"")</x:f>
      </x:c>
    </x:row>
    <x:row r="134">
      <x:c r="H134" t="n">
        <x:f>IF(AND('Execuções'!B134&lt;&gt;"",'Execuções'!C134&lt;&gt;"",ISNUMBER('Execuções'!K134),COUNTIF('Execuções'!$AC$3:$AC$7,'Execuções'!D134)=1,COUNTIFS('Execuções'!$B$9:$B$158,'Execuções'!B134,'Execuções'!$C$9:$C$158,'Execuções'!C134,'Execuções'!$D$9:$D$158,'Execuções'!D134)=1),1,0)</x:f>
        <x:v>0</x:v>
      </x:c>
      <x:c r="I134" t="str">
        <x:f>IF($H134=1,LEFT('Execuções'!E134,FIND(";",'Execuções'!E134&amp;";")-1),"")</x:f>
      </x:c>
      <x:c r="J134" t="str">
        <x:f>IF($H134=1,TRIM(MID('Execuções'!E134,LEN(I134)+2,LEN('Execuções'!E134))),"")</x:f>
      </x:c>
      <x:c r="K134" t="str">
        <x:f>LEFT(J134,FIND(";",J134&amp;";")-1)</x:f>
      </x:c>
      <x:c r="L134" t="str">
        <x:f>IF(LEN(J134)&gt;LEN(K134),TRIM(MID(J134,LEN(K134)+2,LEN(J134))),"")</x:f>
      </x:c>
    </x:row>
    <x:row r="135">
      <x:c r="H135" t="n">
        <x:f>IF(AND('Execuções'!B135&lt;&gt;"",'Execuções'!C135&lt;&gt;"",ISNUMBER('Execuções'!K135),COUNTIF('Execuções'!$AC$3:$AC$7,'Execuções'!D135)=1,COUNTIFS('Execuções'!$B$9:$B$158,'Execuções'!B135,'Execuções'!$C$9:$C$158,'Execuções'!C135,'Execuções'!$D$9:$D$158,'Execuções'!D135)=1),1,0)</x:f>
        <x:v>0</x:v>
      </x:c>
      <x:c r="I135" t="str">
        <x:f>IF($H135=1,LEFT('Execuções'!E135,FIND(";",'Execuções'!E135&amp;";")-1),"")</x:f>
      </x:c>
      <x:c r="J135" t="str">
        <x:f>IF($H135=1,TRIM(MID('Execuções'!E135,LEN(I135)+2,LEN('Execuções'!E135))),"")</x:f>
      </x:c>
      <x:c r="K135" t="str">
        <x:f>LEFT(J135,FIND(";",J135&amp;";")-1)</x:f>
      </x:c>
      <x:c r="L135" t="str">
        <x:f>IF(LEN(J135)&gt;LEN(K135),TRIM(MID(J135,LEN(K135)+2,LEN(J135))),"")</x:f>
      </x:c>
    </x:row>
    <x:row r="136">
      <x:c r="H136" t="n">
        <x:f>IF(AND('Execuções'!B136&lt;&gt;"",'Execuções'!C136&lt;&gt;"",ISNUMBER('Execuções'!K136),COUNTIF('Execuções'!$AC$3:$AC$7,'Execuções'!D136)=1,COUNTIFS('Execuções'!$B$9:$B$158,'Execuções'!B136,'Execuções'!$C$9:$C$158,'Execuções'!C136,'Execuções'!$D$9:$D$158,'Execuções'!D136)=1),1,0)</x:f>
        <x:v>0</x:v>
      </x:c>
      <x:c r="I136" t="str">
        <x:f>IF($H136=1,LEFT('Execuções'!E136,FIND(";",'Execuções'!E136&amp;";")-1),"")</x:f>
      </x:c>
      <x:c r="J136" t="str">
        <x:f>IF($H136=1,TRIM(MID('Execuções'!E136,LEN(I136)+2,LEN('Execuções'!E136))),"")</x:f>
      </x:c>
      <x:c r="K136" t="str">
        <x:f>LEFT(J136,FIND(";",J136&amp;";")-1)</x:f>
      </x:c>
      <x:c r="L136" t="str">
        <x:f>IF(LEN(J136)&gt;LEN(K136),TRIM(MID(J136,LEN(K136)+2,LEN(J136))),"")</x:f>
      </x:c>
    </x:row>
    <x:row r="137">
      <x:c r="H137" t="n">
        <x:f>IF(AND('Execuções'!B137&lt;&gt;"",'Execuções'!C137&lt;&gt;"",ISNUMBER('Execuções'!K137),COUNTIF('Execuções'!$AC$3:$AC$7,'Execuções'!D137)=1,COUNTIFS('Execuções'!$B$9:$B$158,'Execuções'!B137,'Execuções'!$C$9:$C$158,'Execuções'!C137,'Execuções'!$D$9:$D$158,'Execuções'!D137)=1),1,0)</x:f>
        <x:v>0</x:v>
      </x:c>
      <x:c r="I137" t="str">
        <x:f>IF($H137=1,LEFT('Execuções'!E137,FIND(";",'Execuções'!E137&amp;";")-1),"")</x:f>
      </x:c>
      <x:c r="J137" t="str">
        <x:f>IF($H137=1,TRIM(MID('Execuções'!E137,LEN(I137)+2,LEN('Execuções'!E137))),"")</x:f>
      </x:c>
      <x:c r="K137" t="str">
        <x:f>LEFT(J137,FIND(";",J137&amp;";")-1)</x:f>
      </x:c>
      <x:c r="L137" t="str">
        <x:f>IF(LEN(J137)&gt;LEN(K137),TRIM(MID(J137,LEN(K137)+2,LEN(J137))),"")</x:f>
      </x:c>
    </x:row>
    <x:row r="138">
      <x:c r="H138" t="n">
        <x:f>IF(AND('Execuções'!B138&lt;&gt;"",'Execuções'!C138&lt;&gt;"",ISNUMBER('Execuções'!K138),COUNTIF('Execuções'!$AC$3:$AC$7,'Execuções'!D138)=1,COUNTIFS('Execuções'!$B$9:$B$158,'Execuções'!B138,'Execuções'!$C$9:$C$158,'Execuções'!C138,'Execuções'!$D$9:$D$158,'Execuções'!D138)=1),1,0)</x:f>
        <x:v>0</x:v>
      </x:c>
      <x:c r="I138" t="str">
        <x:f>IF($H138=1,LEFT('Execuções'!E138,FIND(";",'Execuções'!E138&amp;";")-1),"")</x:f>
      </x:c>
      <x:c r="J138" t="str">
        <x:f>IF($H138=1,TRIM(MID('Execuções'!E138,LEN(I138)+2,LEN('Execuções'!E138))),"")</x:f>
      </x:c>
      <x:c r="K138" t="str">
        <x:f>LEFT(J138,FIND(";",J138&amp;";")-1)</x:f>
      </x:c>
      <x:c r="L138" t="str">
        <x:f>IF(LEN(J138)&gt;LEN(K138),TRIM(MID(J138,LEN(K138)+2,LEN(J138))),"")</x:f>
      </x:c>
    </x:row>
    <x:row r="139">
      <x:c r="H139" t="n">
        <x:f>IF(AND('Execuções'!B139&lt;&gt;"",'Execuções'!C139&lt;&gt;"",ISNUMBER('Execuções'!K139),COUNTIF('Execuções'!$AC$3:$AC$7,'Execuções'!D139)=1,COUNTIFS('Execuções'!$B$9:$B$158,'Execuções'!B139,'Execuções'!$C$9:$C$158,'Execuções'!C139,'Execuções'!$D$9:$D$158,'Execuções'!D139)=1),1,0)</x:f>
        <x:v>0</x:v>
      </x:c>
      <x:c r="I139" t="str">
        <x:f>IF($H139=1,LEFT('Execuções'!E139,FIND(";",'Execuções'!E139&amp;";")-1),"")</x:f>
      </x:c>
      <x:c r="J139" t="str">
        <x:f>IF($H139=1,TRIM(MID('Execuções'!E139,LEN(I139)+2,LEN('Execuções'!E139))),"")</x:f>
      </x:c>
      <x:c r="K139" t="str">
        <x:f>LEFT(J139,FIND(";",J139&amp;";")-1)</x:f>
      </x:c>
      <x:c r="L139" t="str">
        <x:f>IF(LEN(J139)&gt;LEN(K139),TRIM(MID(J139,LEN(K139)+2,LEN(J139))),"")</x:f>
      </x:c>
    </x:row>
    <x:row r="140">
      <x:c r="H140" t="n">
        <x:f>IF(AND('Execuções'!B140&lt;&gt;"",'Execuções'!C140&lt;&gt;"",ISNUMBER('Execuções'!K140),COUNTIF('Execuções'!$AC$3:$AC$7,'Execuções'!D140)=1,COUNTIFS('Execuções'!$B$9:$B$158,'Execuções'!B140,'Execuções'!$C$9:$C$158,'Execuções'!C140,'Execuções'!$D$9:$D$158,'Execuções'!D140)=1),1,0)</x:f>
        <x:v>0</x:v>
      </x:c>
      <x:c r="I140" t="str">
        <x:f>IF($H140=1,LEFT('Execuções'!E140,FIND(";",'Execuções'!E140&amp;";")-1),"")</x:f>
      </x:c>
      <x:c r="J140" t="str">
        <x:f>IF($H140=1,TRIM(MID('Execuções'!E140,LEN(I140)+2,LEN('Execuções'!E140))),"")</x:f>
      </x:c>
      <x:c r="K140" t="str">
        <x:f>LEFT(J140,FIND(";",J140&amp;";")-1)</x:f>
      </x:c>
      <x:c r="L140" t="str">
        <x:f>IF(LEN(J140)&gt;LEN(K140),TRIM(MID(J140,LEN(K140)+2,LEN(J140))),"")</x:f>
      </x:c>
    </x:row>
    <x:row r="141">
      <x:c r="H141" t="n">
        <x:f>IF(AND('Execuções'!B141&lt;&gt;"",'Execuções'!C141&lt;&gt;"",ISNUMBER('Execuções'!K141),COUNTIF('Execuções'!$AC$3:$AC$7,'Execuções'!D141)=1,COUNTIFS('Execuções'!$B$9:$B$158,'Execuções'!B141,'Execuções'!$C$9:$C$158,'Execuções'!C141,'Execuções'!$D$9:$D$158,'Execuções'!D141)=1),1,0)</x:f>
        <x:v>0</x:v>
      </x:c>
      <x:c r="I141" t="str">
        <x:f>IF($H141=1,LEFT('Execuções'!E141,FIND(";",'Execuções'!E141&amp;";")-1),"")</x:f>
      </x:c>
      <x:c r="J141" t="str">
        <x:f>IF($H141=1,TRIM(MID('Execuções'!E141,LEN(I141)+2,LEN('Execuções'!E141))),"")</x:f>
      </x:c>
      <x:c r="K141" t="str">
        <x:f>LEFT(J141,FIND(";",J141&amp;";")-1)</x:f>
      </x:c>
      <x:c r="L141" t="str">
        <x:f>IF(LEN(J141)&gt;LEN(K141),TRIM(MID(J141,LEN(K141)+2,LEN(J141))),"")</x:f>
      </x:c>
    </x:row>
    <x:row r="142">
      <x:c r="H142" t="n">
        <x:f>IF(AND('Execuções'!B142&lt;&gt;"",'Execuções'!C142&lt;&gt;"",ISNUMBER('Execuções'!K142),COUNTIF('Execuções'!$AC$3:$AC$7,'Execuções'!D142)=1,COUNTIFS('Execuções'!$B$9:$B$158,'Execuções'!B142,'Execuções'!$C$9:$C$158,'Execuções'!C142,'Execuções'!$D$9:$D$158,'Execuções'!D142)=1),1,0)</x:f>
        <x:v>0</x:v>
      </x:c>
      <x:c r="I142" t="str">
        <x:f>IF($H142=1,LEFT('Execuções'!E142,FIND(";",'Execuções'!E142&amp;";")-1),"")</x:f>
      </x:c>
      <x:c r="J142" t="str">
        <x:f>IF($H142=1,TRIM(MID('Execuções'!E142,LEN(I142)+2,LEN('Execuções'!E142))),"")</x:f>
      </x:c>
      <x:c r="K142" t="str">
        <x:f>LEFT(J142,FIND(";",J142&amp;";")-1)</x:f>
      </x:c>
      <x:c r="L142" t="str">
        <x:f>IF(LEN(J142)&gt;LEN(K142),TRIM(MID(J142,LEN(K142)+2,LEN(J142))),"")</x:f>
      </x:c>
    </x:row>
    <x:row r="143">
      <x:c r="H143" t="n">
        <x:f>IF(AND('Execuções'!B143&lt;&gt;"",'Execuções'!C143&lt;&gt;"",ISNUMBER('Execuções'!K143),COUNTIF('Execuções'!$AC$3:$AC$7,'Execuções'!D143)=1,COUNTIFS('Execuções'!$B$9:$B$158,'Execuções'!B143,'Execuções'!$C$9:$C$158,'Execuções'!C143,'Execuções'!$D$9:$D$158,'Execuções'!D143)=1),1,0)</x:f>
        <x:v>0</x:v>
      </x:c>
      <x:c r="I143" t="str">
        <x:f>IF($H143=1,LEFT('Execuções'!E143,FIND(";",'Execuções'!E143&amp;";")-1),"")</x:f>
      </x:c>
      <x:c r="J143" t="str">
        <x:f>IF($H143=1,TRIM(MID('Execuções'!E143,LEN(I143)+2,LEN('Execuções'!E143))),"")</x:f>
      </x:c>
      <x:c r="K143" t="str">
        <x:f>LEFT(J143,FIND(";",J143&amp;";")-1)</x:f>
      </x:c>
      <x:c r="L143" t="str">
        <x:f>IF(LEN(J143)&gt;LEN(K143),TRIM(MID(J143,LEN(K143)+2,LEN(J143))),"")</x:f>
      </x:c>
    </x:row>
    <x:row r="144">
      <x:c r="H144" t="n">
        <x:f>IF(AND('Execuções'!B144&lt;&gt;"",'Execuções'!C144&lt;&gt;"",ISNUMBER('Execuções'!K144),COUNTIF('Execuções'!$AC$3:$AC$7,'Execuções'!D144)=1,COUNTIFS('Execuções'!$B$9:$B$158,'Execuções'!B144,'Execuções'!$C$9:$C$158,'Execuções'!C144,'Execuções'!$D$9:$D$158,'Execuções'!D144)=1),1,0)</x:f>
        <x:v>0</x:v>
      </x:c>
      <x:c r="I144" t="str">
        <x:f>IF($H144=1,LEFT('Execuções'!E144,FIND(";",'Execuções'!E144&amp;";")-1),"")</x:f>
      </x:c>
      <x:c r="J144" t="str">
        <x:f>IF($H144=1,TRIM(MID('Execuções'!E144,LEN(I144)+2,LEN('Execuções'!E144))),"")</x:f>
      </x:c>
      <x:c r="K144" t="str">
        <x:f>LEFT(J144,FIND(";",J144&amp;";")-1)</x:f>
      </x:c>
      <x:c r="L144" t="str">
        <x:f>IF(LEN(J144)&gt;LEN(K144),TRIM(MID(J144,LEN(K144)+2,LEN(J144))),"")</x:f>
      </x:c>
    </x:row>
    <x:row r="145">
      <x:c r="H145" t="n">
        <x:f>IF(AND('Execuções'!B145&lt;&gt;"",'Execuções'!C145&lt;&gt;"",ISNUMBER('Execuções'!K145),COUNTIF('Execuções'!$AC$3:$AC$7,'Execuções'!D145)=1,COUNTIFS('Execuções'!$B$9:$B$158,'Execuções'!B145,'Execuções'!$C$9:$C$158,'Execuções'!C145,'Execuções'!$D$9:$D$158,'Execuções'!D145)=1),1,0)</x:f>
        <x:v>0</x:v>
      </x:c>
      <x:c r="I145" t="str">
        <x:f>IF($H145=1,LEFT('Execuções'!E145,FIND(";",'Execuções'!E145&amp;";")-1),"")</x:f>
      </x:c>
      <x:c r="J145" t="str">
        <x:f>IF($H145=1,TRIM(MID('Execuções'!E145,LEN(I145)+2,LEN('Execuções'!E145))),"")</x:f>
      </x:c>
      <x:c r="K145" t="str">
        <x:f>LEFT(J145,FIND(";",J145&amp;";")-1)</x:f>
      </x:c>
      <x:c r="L145" t="str">
        <x:f>IF(LEN(J145)&gt;LEN(K145),TRIM(MID(J145,LEN(K145)+2,LEN(J145))),"")</x:f>
      </x:c>
    </x:row>
    <x:row r="146">
      <x:c r="H146" t="n">
        <x:f>IF(AND('Execuções'!B146&lt;&gt;"",'Execuções'!C146&lt;&gt;"",ISNUMBER('Execuções'!K146),COUNTIF('Execuções'!$AC$3:$AC$7,'Execuções'!D146)=1,COUNTIFS('Execuções'!$B$9:$B$158,'Execuções'!B146,'Execuções'!$C$9:$C$158,'Execuções'!C146,'Execuções'!$D$9:$D$158,'Execuções'!D146)=1),1,0)</x:f>
        <x:v>0</x:v>
      </x:c>
      <x:c r="I146" t="str">
        <x:f>IF($H146=1,LEFT('Execuções'!E146,FIND(";",'Execuções'!E146&amp;";")-1),"")</x:f>
      </x:c>
      <x:c r="J146" t="str">
        <x:f>IF($H146=1,TRIM(MID('Execuções'!E146,LEN(I146)+2,LEN('Execuções'!E146))),"")</x:f>
      </x:c>
      <x:c r="K146" t="str">
        <x:f>LEFT(J146,FIND(";",J146&amp;";")-1)</x:f>
      </x:c>
      <x:c r="L146" t="str">
        <x:f>IF(LEN(J146)&gt;LEN(K146),TRIM(MID(J146,LEN(K146)+2,LEN(J146))),"")</x:f>
      </x:c>
    </x:row>
    <x:row r="147">
      <x:c r="H147" t="n">
        <x:f>IF(AND('Execuções'!B147&lt;&gt;"",'Execuções'!C147&lt;&gt;"",ISNUMBER('Execuções'!K147),COUNTIF('Execuções'!$AC$3:$AC$7,'Execuções'!D147)=1,COUNTIFS('Execuções'!$B$9:$B$158,'Execuções'!B147,'Execuções'!$C$9:$C$158,'Execuções'!C147,'Execuções'!$D$9:$D$158,'Execuções'!D147)=1),1,0)</x:f>
        <x:v>0</x:v>
      </x:c>
      <x:c r="I147" t="str">
        <x:f>IF($H147=1,LEFT('Execuções'!E147,FIND(";",'Execuções'!E147&amp;";")-1),"")</x:f>
      </x:c>
      <x:c r="J147" t="str">
        <x:f>IF($H147=1,TRIM(MID('Execuções'!E147,LEN(I147)+2,LEN('Execuções'!E147))),"")</x:f>
      </x:c>
      <x:c r="K147" t="str">
        <x:f>LEFT(J147,FIND(";",J147&amp;";")-1)</x:f>
      </x:c>
      <x:c r="L147" t="str">
        <x:f>IF(LEN(J147)&gt;LEN(K147),TRIM(MID(J147,LEN(K147)+2,LEN(J147))),"")</x:f>
      </x:c>
    </x:row>
    <x:row r="148">
      <x:c r="H148" t="n">
        <x:f>IF(AND('Execuções'!B148&lt;&gt;"",'Execuções'!C148&lt;&gt;"",ISNUMBER('Execuções'!K148),COUNTIF('Execuções'!$AC$3:$AC$7,'Execuções'!D148)=1,COUNTIFS('Execuções'!$B$9:$B$158,'Execuções'!B148,'Execuções'!$C$9:$C$158,'Execuções'!C148,'Execuções'!$D$9:$D$158,'Execuções'!D148)=1),1,0)</x:f>
        <x:v>0</x:v>
      </x:c>
      <x:c r="I148" t="str">
        <x:f>IF($H148=1,LEFT('Execuções'!E148,FIND(";",'Execuções'!E148&amp;";")-1),"")</x:f>
      </x:c>
      <x:c r="J148" t="str">
        <x:f>IF($H148=1,TRIM(MID('Execuções'!E148,LEN(I148)+2,LEN('Execuções'!E148))),"")</x:f>
      </x:c>
      <x:c r="K148" t="str">
        <x:f>LEFT(J148,FIND(";",J148&amp;";")-1)</x:f>
      </x:c>
      <x:c r="L148" t="str">
        <x:f>IF(LEN(J148)&gt;LEN(K148),TRIM(MID(J148,LEN(K148)+2,LEN(J148))),"")</x:f>
      </x:c>
    </x:row>
    <x:row r="149">
      <x:c r="H149" t="n">
        <x:f>IF(AND('Execuções'!B149&lt;&gt;"",'Execuções'!C149&lt;&gt;"",ISNUMBER('Execuções'!K149),COUNTIF('Execuções'!$AC$3:$AC$7,'Execuções'!D149)=1,COUNTIFS('Execuções'!$B$9:$B$158,'Execuções'!B149,'Execuções'!$C$9:$C$158,'Execuções'!C149,'Execuções'!$D$9:$D$158,'Execuções'!D149)=1),1,0)</x:f>
        <x:v>0</x:v>
      </x:c>
      <x:c r="I149" t="str">
        <x:f>IF($H149=1,LEFT('Execuções'!E149,FIND(";",'Execuções'!E149&amp;";")-1),"")</x:f>
      </x:c>
      <x:c r="J149" t="str">
        <x:f>IF($H149=1,TRIM(MID('Execuções'!E149,LEN(I149)+2,LEN('Execuções'!E149))),"")</x:f>
      </x:c>
      <x:c r="K149" t="str">
        <x:f>LEFT(J149,FIND(";",J149&amp;";")-1)</x:f>
      </x:c>
      <x:c r="L149" t="str">
        <x:f>IF(LEN(J149)&gt;LEN(K149),TRIM(MID(J149,LEN(K149)+2,LEN(J149))),"")</x:f>
      </x:c>
    </x:row>
    <x:row r="150">
      <x:c r="H150" t="n">
        <x:f>IF(AND('Execuções'!B150&lt;&gt;"",'Execuções'!C150&lt;&gt;"",ISNUMBER('Execuções'!K150),COUNTIF('Execuções'!$AC$3:$AC$7,'Execuções'!D150)=1,COUNTIFS('Execuções'!$B$9:$B$158,'Execuções'!B150,'Execuções'!$C$9:$C$158,'Execuções'!C150,'Execuções'!$D$9:$D$158,'Execuções'!D150)=1),1,0)</x:f>
        <x:v>0</x:v>
      </x:c>
      <x:c r="I150" t="str">
        <x:f>IF($H150=1,LEFT('Execuções'!E150,FIND(";",'Execuções'!E150&amp;";")-1),"")</x:f>
      </x:c>
      <x:c r="J150" t="str">
        <x:f>IF($H150=1,TRIM(MID('Execuções'!E150,LEN(I150)+2,LEN('Execuções'!E150))),"")</x:f>
      </x:c>
      <x:c r="K150" t="str">
        <x:f>LEFT(J150,FIND(";",J150&amp;";")-1)</x:f>
      </x:c>
      <x:c r="L150" t="str">
        <x:f>IF(LEN(J150)&gt;LEN(K150),TRIM(MID(J150,LEN(K150)+2,LEN(J150))),"")</x:f>
      </x:c>
    </x:row>
    <x:row r="151">
      <x:c r="H151" t="n">
        <x:f>IF(AND('Execuções'!B151&lt;&gt;"",'Execuções'!C151&lt;&gt;"",ISNUMBER('Execuções'!K151),COUNTIF('Execuções'!$AC$3:$AC$7,'Execuções'!D151)=1,COUNTIFS('Execuções'!$B$9:$B$158,'Execuções'!B151,'Execuções'!$C$9:$C$158,'Execuções'!C151,'Execuções'!$D$9:$D$158,'Execuções'!D151)=1),1,0)</x:f>
        <x:v>0</x:v>
      </x:c>
      <x:c r="I151" t="str">
        <x:f>IF($H151=1,LEFT('Execuções'!E151,FIND(";",'Execuções'!E151&amp;";")-1),"")</x:f>
      </x:c>
      <x:c r="J151" t="str">
        <x:f>IF($H151=1,TRIM(MID('Execuções'!E151,LEN(I151)+2,LEN('Execuções'!E151))),"")</x:f>
      </x:c>
      <x:c r="K151" t="str">
        <x:f>LEFT(J151,FIND(";",J151&amp;";")-1)</x:f>
      </x:c>
      <x:c r="L151" t="str">
        <x:f>IF(LEN(J151)&gt;LEN(K151),TRIM(MID(J151,LEN(K151)+2,LEN(J151))),"")</x:f>
      </x:c>
    </x:row>
    <x:row r="152">
      <x:c r="H152" t="n">
        <x:f>IF(AND('Execuções'!B152&lt;&gt;"",'Execuções'!C152&lt;&gt;"",ISNUMBER('Execuções'!K152),COUNTIF('Execuções'!$AC$3:$AC$7,'Execuções'!D152)=1,COUNTIFS('Execuções'!$B$9:$B$158,'Execuções'!B152,'Execuções'!$C$9:$C$158,'Execuções'!C152,'Execuções'!$D$9:$D$158,'Execuções'!D152)=1),1,0)</x:f>
        <x:v>0</x:v>
      </x:c>
      <x:c r="I152" t="str">
        <x:f>IF($H152=1,LEFT('Execuções'!E152,FIND(";",'Execuções'!E152&amp;";")-1),"")</x:f>
      </x:c>
      <x:c r="J152" t="str">
        <x:f>IF($H152=1,TRIM(MID('Execuções'!E152,LEN(I152)+2,LEN('Execuções'!E152))),"")</x:f>
      </x:c>
      <x:c r="K152" t="str">
        <x:f>LEFT(J152,FIND(";",J152&amp;";")-1)</x:f>
      </x:c>
      <x:c r="L152" t="str">
        <x:f>IF(LEN(J152)&gt;LEN(K152),TRIM(MID(J152,LEN(K152)+2,LEN(J152))),"")</x:f>
      </x:c>
    </x:row>
    <x:row r="153">
      <x:c r="H153" t="n">
        <x:f>IF(AND('Execuções'!B153&lt;&gt;"",'Execuções'!C153&lt;&gt;"",ISNUMBER('Execuções'!K153),COUNTIF('Execuções'!$AC$3:$AC$7,'Execuções'!D153)=1,COUNTIFS('Execuções'!$B$9:$B$158,'Execuções'!B153,'Execuções'!$C$9:$C$158,'Execuções'!C153,'Execuções'!$D$9:$D$158,'Execuções'!D153)=1),1,0)</x:f>
        <x:v>0</x:v>
      </x:c>
      <x:c r="I153" t="str">
        <x:f>IF($H153=1,LEFT('Execuções'!E153,FIND(";",'Execuções'!E153&amp;";")-1),"")</x:f>
      </x:c>
      <x:c r="J153" t="str">
        <x:f>IF($H153=1,TRIM(MID('Execuções'!E153,LEN(I153)+2,LEN('Execuções'!E153))),"")</x:f>
      </x:c>
      <x:c r="K153" t="str">
        <x:f>LEFT(J153,FIND(";",J153&amp;";")-1)</x:f>
      </x:c>
      <x:c r="L153" t="str">
        <x:f>IF(LEN(J153)&gt;LEN(K153),TRIM(MID(J153,LEN(K153)+2,LEN(J153))),"")</x:f>
      </x:c>
    </x:row>
    <x:row r="154">
      <x:c r="H154" t="n">
        <x:f>IF(AND('Execuções'!B154&lt;&gt;"",'Execuções'!C154&lt;&gt;"",ISNUMBER('Execuções'!K154),COUNTIF('Execuções'!$AC$3:$AC$7,'Execuções'!D154)=1,COUNTIFS('Execuções'!$B$9:$B$158,'Execuções'!B154,'Execuções'!$C$9:$C$158,'Execuções'!C154,'Execuções'!$D$9:$D$158,'Execuções'!D154)=1),1,0)</x:f>
        <x:v>0</x:v>
      </x:c>
      <x:c r="I154" t="str">
        <x:f>IF($H154=1,LEFT('Execuções'!E154,FIND(";",'Execuções'!E154&amp;";")-1),"")</x:f>
      </x:c>
      <x:c r="J154" t="str">
        <x:f>IF($H154=1,TRIM(MID('Execuções'!E154,LEN(I154)+2,LEN('Execuções'!E154))),"")</x:f>
      </x:c>
      <x:c r="K154" t="str">
        <x:f>LEFT(J154,FIND(";",J154&amp;";")-1)</x:f>
      </x:c>
      <x:c r="L154" t="str">
        <x:f>IF(LEN(J154)&gt;LEN(K154),TRIM(MID(J154,LEN(K154)+2,LEN(J154))),"")</x:f>
      </x:c>
    </x:row>
    <x:row r="155">
      <x:c r="H155" t="n">
        <x:f>IF(AND('Execuções'!B155&lt;&gt;"",'Execuções'!C155&lt;&gt;"",ISNUMBER('Execuções'!K155),COUNTIF('Execuções'!$AC$3:$AC$7,'Execuções'!D155)=1,COUNTIFS('Execuções'!$B$9:$B$158,'Execuções'!B155,'Execuções'!$C$9:$C$158,'Execuções'!C155,'Execuções'!$D$9:$D$158,'Execuções'!D155)=1),1,0)</x:f>
        <x:v>0</x:v>
      </x:c>
      <x:c r="I155" t="str">
        <x:f>IF($H155=1,LEFT('Execuções'!E155,FIND(";",'Execuções'!E155&amp;";")-1),"")</x:f>
      </x:c>
      <x:c r="J155" t="str">
        <x:f>IF($H155=1,TRIM(MID('Execuções'!E155,LEN(I155)+2,LEN('Execuções'!E155))),"")</x:f>
      </x:c>
      <x:c r="K155" t="str">
        <x:f>LEFT(J155,FIND(";",J155&amp;";")-1)</x:f>
      </x:c>
      <x:c r="L155" t="str">
        <x:f>IF(LEN(J155)&gt;LEN(K155),TRIM(MID(J155,LEN(K155)+2,LEN(J155))),"")</x:f>
      </x:c>
    </x:row>
    <x:row r="156">
      <x:c r="H156" t="n">
        <x:f>IF(AND('Execuções'!B156&lt;&gt;"",'Execuções'!C156&lt;&gt;"",ISNUMBER('Execuções'!K156),COUNTIF('Execuções'!$AC$3:$AC$7,'Execuções'!D156)=1,COUNTIFS('Execuções'!$B$9:$B$158,'Execuções'!B156,'Execuções'!$C$9:$C$158,'Execuções'!C156,'Execuções'!$D$9:$D$158,'Execuções'!D156)=1),1,0)</x:f>
        <x:v>0</x:v>
      </x:c>
      <x:c r="I156" t="str">
        <x:f>IF($H156=1,LEFT('Execuções'!E156,FIND(";",'Execuções'!E156&amp;";")-1),"")</x:f>
      </x:c>
      <x:c r="J156" t="str">
        <x:f>IF($H156=1,TRIM(MID('Execuções'!E156,LEN(I156)+2,LEN('Execuções'!E156))),"")</x:f>
      </x:c>
      <x:c r="K156" t="str">
        <x:f>LEFT(J156,FIND(";",J156&amp;";")-1)</x:f>
      </x:c>
      <x:c r="L156" t="str">
        <x:f>IF(LEN(J156)&gt;LEN(K156),TRIM(MID(J156,LEN(K156)+2,LEN(J156))),"")</x:f>
      </x:c>
    </x:row>
    <x:row r="157">
      <x:c r="H157" t="n">
        <x:f>IF(AND('Execuções'!B157&lt;&gt;"",'Execuções'!C157&lt;&gt;"",ISNUMBER('Execuções'!K157),COUNTIF('Execuções'!$AC$3:$AC$7,'Execuções'!D157)=1,COUNTIFS('Execuções'!$B$9:$B$158,'Execuções'!B157,'Execuções'!$C$9:$C$158,'Execuções'!C157,'Execuções'!$D$9:$D$158,'Execuções'!D157)=1),1,0)</x:f>
        <x:v>0</x:v>
      </x:c>
      <x:c r="I157" t="str">
        <x:f>IF($H157=1,LEFT('Execuções'!E157,FIND(";",'Execuções'!E157&amp;";")-1),"")</x:f>
      </x:c>
      <x:c r="J157" t="str">
        <x:f>IF($H157=1,TRIM(MID('Execuções'!E157,LEN(I157)+2,LEN('Execuções'!E157))),"")</x:f>
      </x:c>
      <x:c r="K157" t="str">
        <x:f>LEFT(J157,FIND(";",J157&amp;";")-1)</x:f>
      </x:c>
      <x:c r="L157" t="str">
        <x:f>IF(LEN(J157)&gt;LEN(K157),TRIM(MID(J157,LEN(K157)+2,LEN(J157))),"")</x:f>
      </x:c>
    </x:row>
    <x:row r="158">
      <x:c r="H158" t="n">
        <x:f>IF(AND('Execuções'!B158&lt;&gt;"",'Execuções'!C158&lt;&gt;"",ISNUMBER('Execuções'!K158),COUNTIF('Execuções'!$AC$3:$AC$7,'Execuções'!D158)=1,COUNTIFS('Execuções'!$B$9:$B$158,'Execuções'!B158,'Execuções'!$C$9:$C$158,'Execuções'!C158,'Execuções'!$D$9:$D$158,'Execuções'!D158)=1),1,0)</x:f>
        <x:v>0</x:v>
      </x:c>
      <x:c r="I158" t="str">
        <x:f>IF($H158=1,LEFT('Execuções'!E158,FIND(";",'Execuções'!E158&amp;";")-1),"")</x:f>
      </x:c>
      <x:c r="J158" t="str">
        <x:f>IF($H158=1,TRIM(MID('Execuções'!E158,LEN(I158)+2,LEN('Execuções'!E158))),"")</x:f>
      </x:c>
      <x:c r="K158" t="str">
        <x:f>LEFT(J158,FIND(";",J158&amp;";")-1)</x:f>
      </x:c>
      <x:c r="L158" t="str">
        <x:f>IF(LEN(J158)&gt;LEN(K158),TRIM(MID(J158,LEN(K158)+2,LEN(J158))),"")</x:f>
      </x:c>
    </x:row>
  </x:sheetData>
  <x:mergeCells>
    <x:mergeCell ref="A11:F11"/>
    <x:mergeCell ref="A12:F12"/>
    <x:mergeCell ref="A13:F13"/>
    <x:mergeCell ref="A89:F89"/>
  </x:mergeCells>
  <x:pageMargins left="0.7" right="0.7" top="0.75" bottom="0.75" header="0.3" footer="0.3"/>
  <x:tableParts count="1">
    <x:tablePart xmlns:r="http://schemas.openxmlformats.org/officeDocument/2006/relationships" r:id="R0823312d7fad44d5"/>
  </x:tableParts>
</x:worksheet>
</file>